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elpers" sheetId="1" state="hidden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9C8F80"/>
      <sz val="9"/>
    </font>
    <font>
      <name val="Segoe UI"/>
      <b val="1"/>
      <color rgb="00B5694A"/>
      <sz val="20"/>
    </font>
    <font>
      <name val="Segoe UI"/>
      <b val="1"/>
      <i val="1"/>
      <color rgb="009C8F80"/>
      <sz val="11"/>
    </font>
    <font>
      <name val="Segoe UI"/>
      <b val="1"/>
      <color rgb="00FAF6EF"/>
      <sz val="11"/>
    </font>
    <font>
      <name val="Segoe UI"/>
      <b val="1"/>
      <color rgb="004A3F35"/>
      <sz val="10"/>
    </font>
    <font>
      <name val="Segoe UI"/>
      <color rgb="004A3F35"/>
      <sz val="10"/>
    </font>
    <font>
      <name val="Segoe UI"/>
      <b val="1"/>
      <color rgb="009C8F80"/>
      <sz val="9"/>
    </font>
    <font>
      <name val="Segoe UI"/>
      <b val="1"/>
      <color rgb="00B5694A"/>
      <sz val="18"/>
    </font>
    <font>
      <name val="Segoe UI"/>
      <b val="1"/>
      <color rgb="00FAF6EF"/>
      <sz val="10"/>
    </font>
    <font>
      <name val="Segoe UI"/>
      <color rgb="004A3F35"/>
      <sz val="14"/>
    </font>
  </fonts>
  <fills count="5">
    <fill>
      <patternFill/>
    </fill>
    <fill>
      <patternFill patternType="gray125"/>
    </fill>
    <fill>
      <patternFill patternType="solid">
        <fgColor rgb="00FAF6EF"/>
      </patternFill>
    </fill>
    <fill>
      <patternFill patternType="solid">
        <fgColor rgb="006E5F52"/>
      </patternFill>
    </fill>
    <fill>
      <patternFill patternType="solid">
        <fgColor rgb="00F1E9DC"/>
      </patternFill>
    </fill>
  </fills>
  <borders count="3">
    <border>
      <left/>
      <right/>
      <top/>
      <bottom/>
      <diagonal/>
    </border>
    <border>
      <left style="thin">
        <color rgb="00DCD3C4"/>
      </left>
      <right style="thin">
        <color rgb="00DCD3C4"/>
      </right>
      <top style="thin">
        <color rgb="00DCD3C4"/>
      </top>
      <bottom style="thin">
        <color rgb="00DCD3C4"/>
      </bottom>
    </border>
    <border>
      <left style="medium">
        <color rgb="00C7B9A6"/>
      </left>
      <right style="medium">
        <color rgb="00C7B9A6"/>
      </right>
      <top style="medium">
        <color rgb="00C7B9A6"/>
      </top>
      <bottom style="medium">
        <color rgb="00C7B9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5C4A3A"/>
        <sz val="14"/>
      </font>
      <fill>
        <patternFill patternType="solid">
          <fgColor rgb="00E3D9C8"/>
        </patternFill>
      </fill>
    </dxf>
    <dxf>
      <font>
        <name val="Segoe UI"/>
        <b val="1"/>
        <color rgb="0055703F"/>
        <sz val="10"/>
      </font>
      <fill>
        <patternFill patternType="solid">
          <fgColor rgb="00DCE5D0"/>
        </patternFill>
      </fill>
    </dxf>
    <dxf>
      <font>
        <name val="Segoe UI"/>
        <b val="1"/>
        <color rgb="008A6A33"/>
        <sz val="10"/>
      </font>
      <fill>
        <patternFill patternType="solid">
          <fgColor rgb="00F2E2C4"/>
        </patternFill>
      </fill>
    </dxf>
    <dxf>
      <font>
        <name val="Segoe UI"/>
        <b val="1"/>
        <color rgb="0098503F"/>
        <sz val="10"/>
      </font>
      <fill>
        <patternFill patternType="solid">
          <fgColor rgb="00F1D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Progress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'Tracker'!$B$17:$AF$17</f>
            </numRef>
          </cat>
          <val>
            <numRef>
              <f>'Tracker'!$B$26:$AF$26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Progress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'Helpers'!$A$12:$E$12</f>
            </numRef>
          </cat>
          <val>
            <numRef>
              <f>'Helpers'!$A$13:$E$13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'Helpers'!$A$15:$A$16</f>
            </numRef>
          </cat>
          <val>
            <numRef>
              <f>'Helpers'!$B$15:$B$16</f>
            </numRef>
          </val>
        </ser>
        <dLbls>
          <showPercent val="1"/>
        </dLbls>
        <firstSliceAng val="0"/>
        <holeSize val="6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Mood &amp; Motivation</a:t>
            </a:r>
          </a:p>
        </rich>
      </tx>
    </title>
    <plotArea>
      <lineChart>
        <grouping val="standard"/>
        <ser>
          <idx val="0"/>
          <order val="0"/>
          <tx>
            <v>Mood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'Tracker'!$B$17:$AF$17</f>
            </numRef>
          </cat>
          <val>
            <numRef>
              <f>'Tracker'!$B$28:$AF$28</f>
            </numRef>
          </val>
        </ser>
        <ser>
          <idx val="1"/>
          <order val="1"/>
          <tx>
            <v>Motivation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'Tracker'!$B$17:$AF$17</f>
            </numRef>
          </cat>
          <val>
            <numRef>
              <f>'Tracker'!$B$29:$AF$29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27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0</row>
      <rowOff>0</rowOff>
    </from>
    <ext cx="270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33</col>
      <colOff>0</colOff>
      <row>3</row>
      <rowOff>0</rowOff>
    </from>
    <ext cx="2160000" cy="18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30</row>
      <rowOff>0</rowOff>
    </from>
    <ext cx="79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Per-habit streak running counts (column = day of month, value = consecutive checks ending that day)</t>
        </is>
      </c>
    </row>
    <row r="2">
      <c r="A2" t="n">
        <v>0</v>
      </c>
      <c r="B2">
        <f>IF(Tracker!B18="✓",A2+1,0)</f>
        <v/>
      </c>
      <c r="C2">
        <f>IF(Tracker!C18="✓",B2+1,0)</f>
        <v/>
      </c>
      <c r="D2">
        <f>IF(Tracker!D18="✓",C2+1,0)</f>
        <v/>
      </c>
      <c r="E2">
        <f>IF(Tracker!E18="✓",D2+1,0)</f>
        <v/>
      </c>
      <c r="F2">
        <f>IF(Tracker!F18="✓",E2+1,0)</f>
        <v/>
      </c>
      <c r="G2">
        <f>IF(Tracker!G18="✓",F2+1,0)</f>
        <v/>
      </c>
      <c r="H2">
        <f>IF(Tracker!H18="✓",G2+1,0)</f>
        <v/>
      </c>
      <c r="I2">
        <f>IF(Tracker!I18="✓",H2+1,0)</f>
        <v/>
      </c>
      <c r="J2">
        <f>IF(Tracker!J18="✓",I2+1,0)</f>
        <v/>
      </c>
      <c r="K2">
        <f>IF(Tracker!K18="✓",J2+1,0)</f>
        <v/>
      </c>
      <c r="L2">
        <f>IF(Tracker!L18="✓",K2+1,0)</f>
        <v/>
      </c>
      <c r="M2">
        <f>IF(Tracker!M18="✓",L2+1,0)</f>
        <v/>
      </c>
      <c r="N2">
        <f>IF(Tracker!N18="✓",M2+1,0)</f>
        <v/>
      </c>
      <c r="O2">
        <f>IF(Tracker!O18="✓",N2+1,0)</f>
        <v/>
      </c>
      <c r="P2">
        <f>IF(Tracker!P18="✓",O2+1,0)</f>
        <v/>
      </c>
      <c r="Q2">
        <f>IF(Tracker!Q18="✓",P2+1,0)</f>
        <v/>
      </c>
      <c r="R2">
        <f>IF(Tracker!R18="✓",Q2+1,0)</f>
        <v/>
      </c>
      <c r="S2">
        <f>IF(Tracker!S18="✓",R2+1,0)</f>
        <v/>
      </c>
      <c r="T2">
        <f>IF(Tracker!T18="✓",S2+1,0)</f>
        <v/>
      </c>
      <c r="U2">
        <f>IF(Tracker!U18="✓",T2+1,0)</f>
        <v/>
      </c>
      <c r="V2">
        <f>IF(Tracker!V18="✓",U2+1,0)</f>
        <v/>
      </c>
      <c r="W2">
        <f>IF(Tracker!W18="✓",V2+1,0)</f>
        <v/>
      </c>
      <c r="X2">
        <f>IF(Tracker!X18="✓",W2+1,0)</f>
        <v/>
      </c>
      <c r="Y2">
        <f>IF(Tracker!Y18="✓",X2+1,0)</f>
        <v/>
      </c>
      <c r="Z2">
        <f>IF(Tracker!Z18="✓",Y2+1,0)</f>
        <v/>
      </c>
      <c r="AA2">
        <f>IF(Tracker!AA18="✓",Z2+1,0)</f>
        <v/>
      </c>
      <c r="AB2">
        <f>IF(Tracker!AB18="✓",AA2+1,0)</f>
        <v/>
      </c>
      <c r="AC2">
        <f>IF(Tracker!AC18="✓",AB2+1,0)</f>
        <v/>
      </c>
      <c r="AD2">
        <f>IF(Tracker!AD18="✓",AC2+1,0)</f>
        <v/>
      </c>
      <c r="AE2">
        <f>IF(Tracker!AE18="✓",AD2+1,0)</f>
        <v/>
      </c>
      <c r="AF2">
        <f>IF(Tracker!AF18="✓",AE2+1,0)</f>
        <v/>
      </c>
    </row>
    <row r="3">
      <c r="A3" t="n">
        <v>0</v>
      </c>
      <c r="B3">
        <f>IF(Tracker!B19="✓",A3+1,0)</f>
        <v/>
      </c>
      <c r="C3">
        <f>IF(Tracker!C19="✓",B3+1,0)</f>
        <v/>
      </c>
      <c r="D3">
        <f>IF(Tracker!D19="✓",C3+1,0)</f>
        <v/>
      </c>
      <c r="E3">
        <f>IF(Tracker!E19="✓",D3+1,0)</f>
        <v/>
      </c>
      <c r="F3">
        <f>IF(Tracker!F19="✓",E3+1,0)</f>
        <v/>
      </c>
      <c r="G3">
        <f>IF(Tracker!G19="✓",F3+1,0)</f>
        <v/>
      </c>
      <c r="H3">
        <f>IF(Tracker!H19="✓",G3+1,0)</f>
        <v/>
      </c>
      <c r="I3">
        <f>IF(Tracker!I19="✓",H3+1,0)</f>
        <v/>
      </c>
      <c r="J3">
        <f>IF(Tracker!J19="✓",I3+1,0)</f>
        <v/>
      </c>
      <c r="K3">
        <f>IF(Tracker!K19="✓",J3+1,0)</f>
        <v/>
      </c>
      <c r="L3">
        <f>IF(Tracker!L19="✓",K3+1,0)</f>
        <v/>
      </c>
      <c r="M3">
        <f>IF(Tracker!M19="✓",L3+1,0)</f>
        <v/>
      </c>
      <c r="N3">
        <f>IF(Tracker!N19="✓",M3+1,0)</f>
        <v/>
      </c>
      <c r="O3">
        <f>IF(Tracker!O19="✓",N3+1,0)</f>
        <v/>
      </c>
      <c r="P3">
        <f>IF(Tracker!P19="✓",O3+1,0)</f>
        <v/>
      </c>
      <c r="Q3">
        <f>IF(Tracker!Q19="✓",P3+1,0)</f>
        <v/>
      </c>
      <c r="R3">
        <f>IF(Tracker!R19="✓",Q3+1,0)</f>
        <v/>
      </c>
      <c r="S3">
        <f>IF(Tracker!S19="✓",R3+1,0)</f>
        <v/>
      </c>
      <c r="T3">
        <f>IF(Tracker!T19="✓",S3+1,0)</f>
        <v/>
      </c>
      <c r="U3">
        <f>IF(Tracker!U19="✓",T3+1,0)</f>
        <v/>
      </c>
      <c r="V3">
        <f>IF(Tracker!V19="✓",U3+1,0)</f>
        <v/>
      </c>
      <c r="W3">
        <f>IF(Tracker!W19="✓",V3+1,0)</f>
        <v/>
      </c>
      <c r="X3">
        <f>IF(Tracker!X19="✓",W3+1,0)</f>
        <v/>
      </c>
      <c r="Y3">
        <f>IF(Tracker!Y19="✓",X3+1,0)</f>
        <v/>
      </c>
      <c r="Z3">
        <f>IF(Tracker!Z19="✓",Y3+1,0)</f>
        <v/>
      </c>
      <c r="AA3">
        <f>IF(Tracker!AA19="✓",Z3+1,0)</f>
        <v/>
      </c>
      <c r="AB3">
        <f>IF(Tracker!AB19="✓",AA3+1,0)</f>
        <v/>
      </c>
      <c r="AC3">
        <f>IF(Tracker!AC19="✓",AB3+1,0)</f>
        <v/>
      </c>
      <c r="AD3">
        <f>IF(Tracker!AD19="✓",AC3+1,0)</f>
        <v/>
      </c>
      <c r="AE3">
        <f>IF(Tracker!AE19="✓",AD3+1,0)</f>
        <v/>
      </c>
      <c r="AF3">
        <f>IF(Tracker!AF19="✓",AE3+1,0)</f>
        <v/>
      </c>
    </row>
    <row r="4">
      <c r="A4" t="n">
        <v>0</v>
      </c>
      <c r="B4">
        <f>IF(Tracker!B20="✓",A4+1,0)</f>
        <v/>
      </c>
      <c r="C4">
        <f>IF(Tracker!C20="✓",B4+1,0)</f>
        <v/>
      </c>
      <c r="D4">
        <f>IF(Tracker!D20="✓",C4+1,0)</f>
        <v/>
      </c>
      <c r="E4">
        <f>IF(Tracker!E20="✓",D4+1,0)</f>
        <v/>
      </c>
      <c r="F4">
        <f>IF(Tracker!F20="✓",E4+1,0)</f>
        <v/>
      </c>
      <c r="G4">
        <f>IF(Tracker!G20="✓",F4+1,0)</f>
        <v/>
      </c>
      <c r="H4">
        <f>IF(Tracker!H20="✓",G4+1,0)</f>
        <v/>
      </c>
      <c r="I4">
        <f>IF(Tracker!I20="✓",H4+1,0)</f>
        <v/>
      </c>
      <c r="J4">
        <f>IF(Tracker!J20="✓",I4+1,0)</f>
        <v/>
      </c>
      <c r="K4">
        <f>IF(Tracker!K20="✓",J4+1,0)</f>
        <v/>
      </c>
      <c r="L4">
        <f>IF(Tracker!L20="✓",K4+1,0)</f>
        <v/>
      </c>
      <c r="M4">
        <f>IF(Tracker!M20="✓",L4+1,0)</f>
        <v/>
      </c>
      <c r="N4">
        <f>IF(Tracker!N20="✓",M4+1,0)</f>
        <v/>
      </c>
      <c r="O4">
        <f>IF(Tracker!O20="✓",N4+1,0)</f>
        <v/>
      </c>
      <c r="P4">
        <f>IF(Tracker!P20="✓",O4+1,0)</f>
        <v/>
      </c>
      <c r="Q4">
        <f>IF(Tracker!Q20="✓",P4+1,0)</f>
        <v/>
      </c>
      <c r="R4">
        <f>IF(Tracker!R20="✓",Q4+1,0)</f>
        <v/>
      </c>
      <c r="S4">
        <f>IF(Tracker!S20="✓",R4+1,0)</f>
        <v/>
      </c>
      <c r="T4">
        <f>IF(Tracker!T20="✓",S4+1,0)</f>
        <v/>
      </c>
      <c r="U4">
        <f>IF(Tracker!U20="✓",T4+1,0)</f>
        <v/>
      </c>
      <c r="V4">
        <f>IF(Tracker!V20="✓",U4+1,0)</f>
        <v/>
      </c>
      <c r="W4">
        <f>IF(Tracker!W20="✓",V4+1,0)</f>
        <v/>
      </c>
      <c r="X4">
        <f>IF(Tracker!X20="✓",W4+1,0)</f>
        <v/>
      </c>
      <c r="Y4">
        <f>IF(Tracker!Y20="✓",X4+1,0)</f>
        <v/>
      </c>
      <c r="Z4">
        <f>IF(Tracker!Z20="✓",Y4+1,0)</f>
        <v/>
      </c>
      <c r="AA4">
        <f>IF(Tracker!AA20="✓",Z4+1,0)</f>
        <v/>
      </c>
      <c r="AB4">
        <f>IF(Tracker!AB20="✓",AA4+1,0)</f>
        <v/>
      </c>
      <c r="AC4">
        <f>IF(Tracker!AC20="✓",AB4+1,0)</f>
        <v/>
      </c>
      <c r="AD4">
        <f>IF(Tracker!AD20="✓",AC4+1,0)</f>
        <v/>
      </c>
      <c r="AE4">
        <f>IF(Tracker!AE20="✓",AD4+1,0)</f>
        <v/>
      </c>
      <c r="AF4">
        <f>IF(Tracker!AF20="✓",AE4+1,0)</f>
        <v/>
      </c>
    </row>
    <row r="5">
      <c r="A5" t="n">
        <v>0</v>
      </c>
      <c r="B5">
        <f>IF(Tracker!B21="✓",A5+1,0)</f>
        <v/>
      </c>
      <c r="C5">
        <f>IF(Tracker!C21="✓",B5+1,0)</f>
        <v/>
      </c>
      <c r="D5">
        <f>IF(Tracker!D21="✓",C5+1,0)</f>
        <v/>
      </c>
      <c r="E5">
        <f>IF(Tracker!E21="✓",D5+1,0)</f>
        <v/>
      </c>
      <c r="F5">
        <f>IF(Tracker!F21="✓",E5+1,0)</f>
        <v/>
      </c>
      <c r="G5">
        <f>IF(Tracker!G21="✓",F5+1,0)</f>
        <v/>
      </c>
      <c r="H5">
        <f>IF(Tracker!H21="✓",G5+1,0)</f>
        <v/>
      </c>
      <c r="I5">
        <f>IF(Tracker!I21="✓",H5+1,0)</f>
        <v/>
      </c>
      <c r="J5">
        <f>IF(Tracker!J21="✓",I5+1,0)</f>
        <v/>
      </c>
      <c r="K5">
        <f>IF(Tracker!K21="✓",J5+1,0)</f>
        <v/>
      </c>
      <c r="L5">
        <f>IF(Tracker!L21="✓",K5+1,0)</f>
        <v/>
      </c>
      <c r="M5">
        <f>IF(Tracker!M21="✓",L5+1,0)</f>
        <v/>
      </c>
      <c r="N5">
        <f>IF(Tracker!N21="✓",M5+1,0)</f>
        <v/>
      </c>
      <c r="O5">
        <f>IF(Tracker!O21="✓",N5+1,0)</f>
        <v/>
      </c>
      <c r="P5">
        <f>IF(Tracker!P21="✓",O5+1,0)</f>
        <v/>
      </c>
      <c r="Q5">
        <f>IF(Tracker!Q21="✓",P5+1,0)</f>
        <v/>
      </c>
      <c r="R5">
        <f>IF(Tracker!R21="✓",Q5+1,0)</f>
        <v/>
      </c>
      <c r="S5">
        <f>IF(Tracker!S21="✓",R5+1,0)</f>
        <v/>
      </c>
      <c r="T5">
        <f>IF(Tracker!T21="✓",S5+1,0)</f>
        <v/>
      </c>
      <c r="U5">
        <f>IF(Tracker!U21="✓",T5+1,0)</f>
        <v/>
      </c>
      <c r="V5">
        <f>IF(Tracker!V21="✓",U5+1,0)</f>
        <v/>
      </c>
      <c r="W5">
        <f>IF(Tracker!W21="✓",V5+1,0)</f>
        <v/>
      </c>
      <c r="X5">
        <f>IF(Tracker!X21="✓",W5+1,0)</f>
        <v/>
      </c>
      <c r="Y5">
        <f>IF(Tracker!Y21="✓",X5+1,0)</f>
        <v/>
      </c>
      <c r="Z5">
        <f>IF(Tracker!Z21="✓",Y5+1,0)</f>
        <v/>
      </c>
      <c r="AA5">
        <f>IF(Tracker!AA21="✓",Z5+1,0)</f>
        <v/>
      </c>
      <c r="AB5">
        <f>IF(Tracker!AB21="✓",AA5+1,0)</f>
        <v/>
      </c>
      <c r="AC5">
        <f>IF(Tracker!AC21="✓",AB5+1,0)</f>
        <v/>
      </c>
      <c r="AD5">
        <f>IF(Tracker!AD21="✓",AC5+1,0)</f>
        <v/>
      </c>
      <c r="AE5">
        <f>IF(Tracker!AE21="✓",AD5+1,0)</f>
        <v/>
      </c>
      <c r="AF5">
        <f>IF(Tracker!AF21="✓",AE5+1,0)</f>
        <v/>
      </c>
    </row>
    <row r="6">
      <c r="A6" t="n">
        <v>0</v>
      </c>
      <c r="B6">
        <f>IF(Tracker!B22="✓",A6+1,0)</f>
        <v/>
      </c>
      <c r="C6">
        <f>IF(Tracker!C22="✓",B6+1,0)</f>
        <v/>
      </c>
      <c r="D6">
        <f>IF(Tracker!D22="✓",C6+1,0)</f>
        <v/>
      </c>
      <c r="E6">
        <f>IF(Tracker!E22="✓",D6+1,0)</f>
        <v/>
      </c>
      <c r="F6">
        <f>IF(Tracker!F22="✓",E6+1,0)</f>
        <v/>
      </c>
      <c r="G6">
        <f>IF(Tracker!G22="✓",F6+1,0)</f>
        <v/>
      </c>
      <c r="H6">
        <f>IF(Tracker!H22="✓",G6+1,0)</f>
        <v/>
      </c>
      <c r="I6">
        <f>IF(Tracker!I22="✓",H6+1,0)</f>
        <v/>
      </c>
      <c r="J6">
        <f>IF(Tracker!J22="✓",I6+1,0)</f>
        <v/>
      </c>
      <c r="K6">
        <f>IF(Tracker!K22="✓",J6+1,0)</f>
        <v/>
      </c>
      <c r="L6">
        <f>IF(Tracker!L22="✓",K6+1,0)</f>
        <v/>
      </c>
      <c r="M6">
        <f>IF(Tracker!M22="✓",L6+1,0)</f>
        <v/>
      </c>
      <c r="N6">
        <f>IF(Tracker!N22="✓",M6+1,0)</f>
        <v/>
      </c>
      <c r="O6">
        <f>IF(Tracker!O22="✓",N6+1,0)</f>
        <v/>
      </c>
      <c r="P6">
        <f>IF(Tracker!P22="✓",O6+1,0)</f>
        <v/>
      </c>
      <c r="Q6">
        <f>IF(Tracker!Q22="✓",P6+1,0)</f>
        <v/>
      </c>
      <c r="R6">
        <f>IF(Tracker!R22="✓",Q6+1,0)</f>
        <v/>
      </c>
      <c r="S6">
        <f>IF(Tracker!S22="✓",R6+1,0)</f>
        <v/>
      </c>
      <c r="T6">
        <f>IF(Tracker!T22="✓",S6+1,0)</f>
        <v/>
      </c>
      <c r="U6">
        <f>IF(Tracker!U22="✓",T6+1,0)</f>
        <v/>
      </c>
      <c r="V6">
        <f>IF(Tracker!V22="✓",U6+1,0)</f>
        <v/>
      </c>
      <c r="W6">
        <f>IF(Tracker!W22="✓",V6+1,0)</f>
        <v/>
      </c>
      <c r="X6">
        <f>IF(Tracker!X22="✓",W6+1,0)</f>
        <v/>
      </c>
      <c r="Y6">
        <f>IF(Tracker!Y22="✓",X6+1,0)</f>
        <v/>
      </c>
      <c r="Z6">
        <f>IF(Tracker!Z22="✓",Y6+1,0)</f>
        <v/>
      </c>
      <c r="AA6">
        <f>IF(Tracker!AA22="✓",Z6+1,0)</f>
        <v/>
      </c>
      <c r="AB6">
        <f>IF(Tracker!AB22="✓",AA6+1,0)</f>
        <v/>
      </c>
      <c r="AC6">
        <f>IF(Tracker!AC22="✓",AB6+1,0)</f>
        <v/>
      </c>
      <c r="AD6">
        <f>IF(Tracker!AD22="✓",AC6+1,0)</f>
        <v/>
      </c>
      <c r="AE6">
        <f>IF(Tracker!AE22="✓",AD6+1,0)</f>
        <v/>
      </c>
      <c r="AF6">
        <f>IF(Tracker!AF22="✓",AE6+1,0)</f>
        <v/>
      </c>
    </row>
    <row r="7">
      <c r="A7" t="n">
        <v>0</v>
      </c>
      <c r="B7">
        <f>IF(Tracker!B23="✓",A7+1,0)</f>
        <v/>
      </c>
      <c r="C7">
        <f>IF(Tracker!C23="✓",B7+1,0)</f>
        <v/>
      </c>
      <c r="D7">
        <f>IF(Tracker!D23="✓",C7+1,0)</f>
        <v/>
      </c>
      <c r="E7">
        <f>IF(Tracker!E23="✓",D7+1,0)</f>
        <v/>
      </c>
      <c r="F7">
        <f>IF(Tracker!F23="✓",E7+1,0)</f>
        <v/>
      </c>
      <c r="G7">
        <f>IF(Tracker!G23="✓",F7+1,0)</f>
        <v/>
      </c>
      <c r="H7">
        <f>IF(Tracker!H23="✓",G7+1,0)</f>
        <v/>
      </c>
      <c r="I7">
        <f>IF(Tracker!I23="✓",H7+1,0)</f>
        <v/>
      </c>
      <c r="J7">
        <f>IF(Tracker!J23="✓",I7+1,0)</f>
        <v/>
      </c>
      <c r="K7">
        <f>IF(Tracker!K23="✓",J7+1,0)</f>
        <v/>
      </c>
      <c r="L7">
        <f>IF(Tracker!L23="✓",K7+1,0)</f>
        <v/>
      </c>
      <c r="M7">
        <f>IF(Tracker!M23="✓",L7+1,0)</f>
        <v/>
      </c>
      <c r="N7">
        <f>IF(Tracker!N23="✓",M7+1,0)</f>
        <v/>
      </c>
      <c r="O7">
        <f>IF(Tracker!O23="✓",N7+1,0)</f>
        <v/>
      </c>
      <c r="P7">
        <f>IF(Tracker!P23="✓",O7+1,0)</f>
        <v/>
      </c>
      <c r="Q7">
        <f>IF(Tracker!Q23="✓",P7+1,0)</f>
        <v/>
      </c>
      <c r="R7">
        <f>IF(Tracker!R23="✓",Q7+1,0)</f>
        <v/>
      </c>
      <c r="S7">
        <f>IF(Tracker!S23="✓",R7+1,0)</f>
        <v/>
      </c>
      <c r="T7">
        <f>IF(Tracker!T23="✓",S7+1,0)</f>
        <v/>
      </c>
      <c r="U7">
        <f>IF(Tracker!U23="✓",T7+1,0)</f>
        <v/>
      </c>
      <c r="V7">
        <f>IF(Tracker!V23="✓",U7+1,0)</f>
        <v/>
      </c>
      <c r="W7">
        <f>IF(Tracker!W23="✓",V7+1,0)</f>
        <v/>
      </c>
      <c r="X7">
        <f>IF(Tracker!X23="✓",W7+1,0)</f>
        <v/>
      </c>
      <c r="Y7">
        <f>IF(Tracker!Y23="✓",X7+1,0)</f>
        <v/>
      </c>
      <c r="Z7">
        <f>IF(Tracker!Z23="✓",Y7+1,0)</f>
        <v/>
      </c>
      <c r="AA7">
        <f>IF(Tracker!AA23="✓",Z7+1,0)</f>
        <v/>
      </c>
      <c r="AB7">
        <f>IF(Tracker!AB23="✓",AA7+1,0)</f>
        <v/>
      </c>
      <c r="AC7">
        <f>IF(Tracker!AC23="✓",AB7+1,0)</f>
        <v/>
      </c>
      <c r="AD7">
        <f>IF(Tracker!AD23="✓",AC7+1,0)</f>
        <v/>
      </c>
      <c r="AE7">
        <f>IF(Tracker!AE23="✓",AD7+1,0)</f>
        <v/>
      </c>
      <c r="AF7">
        <f>IF(Tracker!AF23="✓",AE7+1,0)</f>
        <v/>
      </c>
    </row>
    <row r="8">
      <c r="A8" t="n">
        <v>0</v>
      </c>
      <c r="B8">
        <f>IF(Tracker!B24="✓",A8+1,0)</f>
        <v/>
      </c>
      <c r="C8">
        <f>IF(Tracker!C24="✓",B8+1,0)</f>
        <v/>
      </c>
      <c r="D8">
        <f>IF(Tracker!D24="✓",C8+1,0)</f>
        <v/>
      </c>
      <c r="E8">
        <f>IF(Tracker!E24="✓",D8+1,0)</f>
        <v/>
      </c>
      <c r="F8">
        <f>IF(Tracker!F24="✓",E8+1,0)</f>
        <v/>
      </c>
      <c r="G8">
        <f>IF(Tracker!G24="✓",F8+1,0)</f>
        <v/>
      </c>
      <c r="H8">
        <f>IF(Tracker!H24="✓",G8+1,0)</f>
        <v/>
      </c>
      <c r="I8">
        <f>IF(Tracker!I24="✓",H8+1,0)</f>
        <v/>
      </c>
      <c r="J8">
        <f>IF(Tracker!J24="✓",I8+1,0)</f>
        <v/>
      </c>
      <c r="K8">
        <f>IF(Tracker!K24="✓",J8+1,0)</f>
        <v/>
      </c>
      <c r="L8">
        <f>IF(Tracker!L24="✓",K8+1,0)</f>
        <v/>
      </c>
      <c r="M8">
        <f>IF(Tracker!M24="✓",L8+1,0)</f>
        <v/>
      </c>
      <c r="N8">
        <f>IF(Tracker!N24="✓",M8+1,0)</f>
        <v/>
      </c>
      <c r="O8">
        <f>IF(Tracker!O24="✓",N8+1,0)</f>
        <v/>
      </c>
      <c r="P8">
        <f>IF(Tracker!P24="✓",O8+1,0)</f>
        <v/>
      </c>
      <c r="Q8">
        <f>IF(Tracker!Q24="✓",P8+1,0)</f>
        <v/>
      </c>
      <c r="R8">
        <f>IF(Tracker!R24="✓",Q8+1,0)</f>
        <v/>
      </c>
      <c r="S8">
        <f>IF(Tracker!S24="✓",R8+1,0)</f>
        <v/>
      </c>
      <c r="T8">
        <f>IF(Tracker!T24="✓",S8+1,0)</f>
        <v/>
      </c>
      <c r="U8">
        <f>IF(Tracker!U24="✓",T8+1,0)</f>
        <v/>
      </c>
      <c r="V8">
        <f>IF(Tracker!V24="✓",U8+1,0)</f>
        <v/>
      </c>
      <c r="W8">
        <f>IF(Tracker!W24="✓",V8+1,0)</f>
        <v/>
      </c>
      <c r="X8">
        <f>IF(Tracker!X24="✓",W8+1,0)</f>
        <v/>
      </c>
      <c r="Y8">
        <f>IF(Tracker!Y24="✓",X8+1,0)</f>
        <v/>
      </c>
      <c r="Z8">
        <f>IF(Tracker!Z24="✓",Y8+1,0)</f>
        <v/>
      </c>
      <c r="AA8">
        <f>IF(Tracker!AA24="✓",Z8+1,0)</f>
        <v/>
      </c>
      <c r="AB8">
        <f>IF(Tracker!AB24="✓",AA8+1,0)</f>
        <v/>
      </c>
      <c r="AC8">
        <f>IF(Tracker!AC24="✓",AB8+1,0)</f>
        <v/>
      </c>
      <c r="AD8">
        <f>IF(Tracker!AD24="✓",AC8+1,0)</f>
        <v/>
      </c>
      <c r="AE8">
        <f>IF(Tracker!AE24="✓",AD8+1,0)</f>
        <v/>
      </c>
      <c r="AF8">
        <f>IF(Tracker!AF24="✓",AE8+1,0)</f>
        <v/>
      </c>
    </row>
    <row r="9">
      <c r="A9" t="n">
        <v>0</v>
      </c>
      <c r="B9">
        <f>IF(Tracker!B25="✓",A9+1,0)</f>
        <v/>
      </c>
      <c r="C9">
        <f>IF(Tracker!C25="✓",B9+1,0)</f>
        <v/>
      </c>
      <c r="D9">
        <f>IF(Tracker!D25="✓",C9+1,0)</f>
        <v/>
      </c>
      <c r="E9">
        <f>IF(Tracker!E25="✓",D9+1,0)</f>
        <v/>
      </c>
      <c r="F9">
        <f>IF(Tracker!F25="✓",E9+1,0)</f>
        <v/>
      </c>
      <c r="G9">
        <f>IF(Tracker!G25="✓",F9+1,0)</f>
        <v/>
      </c>
      <c r="H9">
        <f>IF(Tracker!H25="✓",G9+1,0)</f>
        <v/>
      </c>
      <c r="I9">
        <f>IF(Tracker!I25="✓",H9+1,0)</f>
        <v/>
      </c>
      <c r="J9">
        <f>IF(Tracker!J25="✓",I9+1,0)</f>
        <v/>
      </c>
      <c r="K9">
        <f>IF(Tracker!K25="✓",J9+1,0)</f>
        <v/>
      </c>
      <c r="L9">
        <f>IF(Tracker!L25="✓",K9+1,0)</f>
        <v/>
      </c>
      <c r="M9">
        <f>IF(Tracker!M25="✓",L9+1,0)</f>
        <v/>
      </c>
      <c r="N9">
        <f>IF(Tracker!N25="✓",M9+1,0)</f>
        <v/>
      </c>
      <c r="O9">
        <f>IF(Tracker!O25="✓",N9+1,0)</f>
        <v/>
      </c>
      <c r="P9">
        <f>IF(Tracker!P25="✓",O9+1,0)</f>
        <v/>
      </c>
      <c r="Q9">
        <f>IF(Tracker!Q25="✓",P9+1,0)</f>
        <v/>
      </c>
      <c r="R9">
        <f>IF(Tracker!R25="✓",Q9+1,0)</f>
        <v/>
      </c>
      <c r="S9">
        <f>IF(Tracker!S25="✓",R9+1,0)</f>
        <v/>
      </c>
      <c r="T9">
        <f>IF(Tracker!T25="✓",S9+1,0)</f>
        <v/>
      </c>
      <c r="U9">
        <f>IF(Tracker!U25="✓",T9+1,0)</f>
        <v/>
      </c>
      <c r="V9">
        <f>IF(Tracker!V25="✓",U9+1,0)</f>
        <v/>
      </c>
      <c r="W9">
        <f>IF(Tracker!W25="✓",V9+1,0)</f>
        <v/>
      </c>
      <c r="X9">
        <f>IF(Tracker!X25="✓",W9+1,0)</f>
        <v/>
      </c>
      <c r="Y9">
        <f>IF(Tracker!Y25="✓",X9+1,0)</f>
        <v/>
      </c>
      <c r="Z9">
        <f>IF(Tracker!Z25="✓",Y9+1,0)</f>
        <v/>
      </c>
      <c r="AA9">
        <f>IF(Tracker!AA25="✓",Z9+1,0)</f>
        <v/>
      </c>
      <c r="AB9">
        <f>IF(Tracker!AB25="✓",AA9+1,0)</f>
        <v/>
      </c>
      <c r="AC9">
        <f>IF(Tracker!AC25="✓",AB9+1,0)</f>
        <v/>
      </c>
      <c r="AD9">
        <f>IF(Tracker!AD25="✓",AC9+1,0)</f>
        <v/>
      </c>
      <c r="AE9">
        <f>IF(Tracker!AE25="✓",AD9+1,0)</f>
        <v/>
      </c>
      <c r="AF9">
        <f>IF(Tracker!AF25="✓",AE9+1,0)</f>
        <v/>
      </c>
    </row>
    <row r="11">
      <c r="A11" s="1" t="inlineStr">
        <is>
          <t>Weekly score (Week 1-5)</t>
        </is>
      </c>
    </row>
    <row r="12">
      <c r="A12" s="1" t="inlineStr">
        <is>
          <t>Week 1</t>
        </is>
      </c>
      <c r="B12" s="1" t="inlineStr">
        <is>
          <t>Week 2</t>
        </is>
      </c>
      <c r="C12" s="1" t="inlineStr">
        <is>
          <t>Week 3</t>
        </is>
      </c>
      <c r="D12" s="1" t="inlineStr">
        <is>
          <t>Week 4</t>
        </is>
      </c>
      <c r="E12" s="1" t="inlineStr">
        <is>
          <t>Week 5</t>
        </is>
      </c>
    </row>
    <row r="13">
      <c r="A13" s="2">
        <f>SUMPRODUCT(--(Tracker!B18:H25="✓"))/(8*7)</f>
        <v/>
      </c>
      <c r="B13" s="2">
        <f>SUMPRODUCT(--(Tracker!I18:O25="✓"))/(8*7)</f>
        <v/>
      </c>
      <c r="C13" s="2">
        <f>SUMPRODUCT(--(Tracker!P18:V25="✓"))/(8*7)</f>
        <v/>
      </c>
      <c r="D13" s="2">
        <f>SUMPRODUCT(--(Tracker!W18:AC25="✓"))/(8*7)</f>
        <v/>
      </c>
      <c r="E13" s="2">
        <f>IF(Tracker!$B$6&lt;=28,0,SUMPRODUCT(--(Tracker!AD18:AF25="✓"))/(8*(Tracker!$B$6-28)))</f>
        <v/>
      </c>
    </row>
    <row r="14">
      <c r="A14" s="1" t="inlineStr">
        <is>
          <t>Overall status data</t>
        </is>
      </c>
    </row>
    <row r="15">
      <c r="A15" t="inlineStr">
        <is>
          <t>Completed</t>
        </is>
      </c>
      <c r="B15">
        <f>SUMPRODUCT(--(Tracker!B18:AF25="✓"))</f>
        <v/>
      </c>
    </row>
    <row r="16">
      <c r="A16" t="inlineStr">
        <is>
          <t>Remaining</t>
        </is>
      </c>
      <c r="B16">
        <f>8*Tracker!$B$6-B15</f>
        <v/>
      </c>
    </row>
    <row r="17">
      <c r="A17" s="1" t="inlineStr">
        <is>
          <t>Ranking tie-break values</t>
        </is>
      </c>
    </row>
    <row r="18">
      <c r="A18">
        <f>Tracker!A18</f>
        <v/>
      </c>
      <c r="B18">
        <f>Tracker!AK18-ROW()*0.0000001</f>
        <v/>
      </c>
    </row>
    <row r="19">
      <c r="A19">
        <f>Tracker!A19</f>
        <v/>
      </c>
      <c r="B19">
        <f>Tracker!AK19-ROW()*0.0000001</f>
        <v/>
      </c>
    </row>
    <row r="20">
      <c r="A20">
        <f>Tracker!A20</f>
        <v/>
      </c>
      <c r="B20">
        <f>Tracker!AK20-ROW()*0.0000001</f>
        <v/>
      </c>
    </row>
    <row r="21">
      <c r="A21">
        <f>Tracker!A21</f>
        <v/>
      </c>
      <c r="B21">
        <f>Tracker!AK21-ROW()*0.0000001</f>
        <v/>
      </c>
    </row>
    <row r="22">
      <c r="A22">
        <f>Tracker!A22</f>
        <v/>
      </c>
      <c r="B22">
        <f>Tracker!AK22-ROW()*0.0000001</f>
        <v/>
      </c>
    </row>
    <row r="23">
      <c r="A23">
        <f>Tracker!A23</f>
        <v/>
      </c>
      <c r="B23">
        <f>Tracker!AK23-ROW()*0.0000001</f>
        <v/>
      </c>
    </row>
    <row r="24">
      <c r="A24">
        <f>Tracker!A24</f>
        <v/>
      </c>
      <c r="B24">
        <f>Tracker!AK24-ROW()*0.0000001</f>
        <v/>
      </c>
    </row>
    <row r="25">
      <c r="A25">
        <f>Tracker!A25</f>
        <v/>
      </c>
      <c r="B25">
        <f>Tracker!AK25-ROW()*0.0000001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7"/>
  <sheetViews>
    <sheetView showGridLines="0" zoomScale="75"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1.5" customWidth="1" min="33" max="33"/>
    <col width="6" customWidth="1" min="34" max="34"/>
    <col width="6.5" customWidth="1" min="35" max="35"/>
    <col width="6" customWidth="1" min="36" max="36"/>
    <col width="10" customWidth="1" min="37" max="37"/>
    <col width="7" customWidth="1" min="38" max="38"/>
    <col width="6" customWidth="1" min="39" max="39"/>
    <col width="1.5" customWidth="1" min="40" max="40"/>
    <col width="4" customWidth="1" min="41" max="41"/>
    <col width="24" customWidth="1" min="42" max="42"/>
  </cols>
  <sheetData>
    <row r="1" ht="22" customHeight="1">
      <c r="A1" s="3" t="inlineStr">
        <is>
          <t>HABIT TRACKER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5" t="inlineStr">
        <is>
          <t>GOAL</t>
        </is>
      </c>
      <c r="AI1" s="6">
        <f>8*$B$6</f>
        <v/>
      </c>
      <c r="AN1" s="4" t="n"/>
      <c r="AO1" s="4" t="n"/>
      <c r="AP1" s="4" t="n"/>
    </row>
    <row r="2" ht="22" customHeight="1">
      <c r="A2" s="7">
        <f>"- "&amp;TEXT(DATE($D$5,$B$5,1),"mmmm")&amp;" "&amp;$D$5&amp;" -"</f>
        <v/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inlineStr">
        <is>
          <t>COMPLETED</t>
        </is>
      </c>
      <c r="AI2" s="6">
        <f>Helpers!B15</f>
        <v/>
      </c>
      <c r="AN2" s="4" t="n"/>
      <c r="AO2" s="4" t="n"/>
      <c r="AP2" s="4" t="n"/>
    </row>
    <row r="3" ht="2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5" t="inlineStr">
        <is>
          <t>LEFT</t>
        </is>
      </c>
      <c r="AI3" s="6">
        <f>Helpers!B16</f>
        <v/>
      </c>
      <c r="AN3" s="4" t="n"/>
      <c r="AO3" s="4" t="n"/>
      <c r="AP3" s="4" t="n"/>
    </row>
    <row r="4" ht="20" customHeight="1">
      <c r="A4" s="8" t="inlineStr">
        <is>
          <t>CALENDAR SETTINGS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>
      <c r="A5" s="9" t="inlineStr">
        <is>
          <t>Month (1-12):</t>
        </is>
      </c>
      <c r="B5" s="10" t="n">
        <v>6</v>
      </c>
      <c r="C5" s="4" t="n"/>
      <c r="D5" s="9" t="inlineStr">
        <is>
          <t>Year:</t>
        </is>
      </c>
      <c r="E5" s="10" t="n">
        <v>2026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</row>
    <row r="6">
      <c r="A6" s="9" t="inlineStr">
        <is>
          <t>Days in Month:</t>
        </is>
      </c>
      <c r="B6" s="11">
        <f>DAY(EOMONTH(DATE($D$5,$B$5,1),0))</f>
        <v/>
      </c>
      <c r="C6" s="4" t="n"/>
      <c r="D6" s="9" t="inlineStr">
        <is>
          <t>Today (day #):</t>
        </is>
      </c>
      <c r="E6" s="11">
        <f>IF(AND(YEAR(TODAY())=$D$5,MONTH(TODAY())=$B$5),DAY(TODAY()),$B$6)</f>
        <v/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</row>
    <row r="14" ht="20" customHeight="1">
      <c r="A14" s="8" t="inlineStr">
        <is>
          <t>DAILY HABIT TRACKER  —  click a day's box and choose ✓ to mark it done</t>
        </is>
      </c>
    </row>
    <row r="15">
      <c r="A15" s="12" t="inlineStr">
        <is>
          <t>MY HABITS</t>
        </is>
      </c>
      <c r="B15" s="13" t="inlineStr">
        <is>
          <t>Week 1</t>
        </is>
      </c>
      <c r="C15" s="14" t="n"/>
      <c r="D15" s="14" t="n"/>
      <c r="E15" s="14" t="n"/>
      <c r="F15" s="14" t="n"/>
      <c r="G15" s="14" t="n"/>
      <c r="H15" s="14" t="n"/>
      <c r="I15" s="13" t="inlineStr">
        <is>
          <t>Week 2</t>
        </is>
      </c>
      <c r="J15" s="14" t="n"/>
      <c r="K15" s="14" t="n"/>
      <c r="L15" s="14" t="n"/>
      <c r="M15" s="14" t="n"/>
      <c r="N15" s="14" t="n"/>
      <c r="O15" s="14" t="n"/>
      <c r="P15" s="13" t="inlineStr">
        <is>
          <t>Week 3</t>
        </is>
      </c>
      <c r="Q15" s="14" t="n"/>
      <c r="R15" s="14" t="n"/>
      <c r="S15" s="14" t="n"/>
      <c r="T15" s="14" t="n"/>
      <c r="U15" s="14" t="n"/>
      <c r="V15" s="14" t="n"/>
      <c r="W15" s="13" t="inlineStr">
        <is>
          <t>Week 4</t>
        </is>
      </c>
      <c r="X15" s="14" t="n"/>
      <c r="Y15" s="14" t="n"/>
      <c r="Z15" s="14" t="n"/>
      <c r="AA15" s="14" t="n"/>
      <c r="AB15" s="14" t="n"/>
      <c r="AC15" s="14" t="n"/>
      <c r="AD15" s="13" t="inlineStr">
        <is>
          <t>Week 5</t>
        </is>
      </c>
      <c r="AE15" s="14" t="n"/>
      <c r="AF15" s="14" t="n"/>
      <c r="AG15" s="4" t="n"/>
      <c r="AH15" s="15" t="inlineStr">
        <is>
          <t>ANALYSIS</t>
        </is>
      </c>
      <c r="AN15" s="4" t="n"/>
      <c r="AO15" s="12" t="inlineStr">
        <is>
          <t>HABIT RANKING</t>
        </is>
      </c>
    </row>
    <row r="16">
      <c r="B16" s="11">
        <f>IF(B17&lt;=$B$6,TEXT(DATE($D$5,$B$5,B17),"ddd"),"")</f>
        <v/>
      </c>
      <c r="C16" s="11">
        <f>IF(C17&lt;=$B$6,TEXT(DATE($D$5,$B$5,C17),"ddd"),"")</f>
        <v/>
      </c>
      <c r="D16" s="11">
        <f>IF(D17&lt;=$B$6,TEXT(DATE($D$5,$B$5,D17),"ddd"),"")</f>
        <v/>
      </c>
      <c r="E16" s="11">
        <f>IF(E17&lt;=$B$6,TEXT(DATE($D$5,$B$5,E17),"ddd"),"")</f>
        <v/>
      </c>
      <c r="F16" s="11">
        <f>IF(F17&lt;=$B$6,TEXT(DATE($D$5,$B$5,F17),"ddd"),"")</f>
        <v/>
      </c>
      <c r="G16" s="11">
        <f>IF(G17&lt;=$B$6,TEXT(DATE($D$5,$B$5,G17),"ddd"),"")</f>
        <v/>
      </c>
      <c r="H16" s="11">
        <f>IF(H17&lt;=$B$6,TEXT(DATE($D$5,$B$5,H17),"ddd"),"")</f>
        <v/>
      </c>
      <c r="I16" s="11">
        <f>IF(I17&lt;=$B$6,TEXT(DATE($D$5,$B$5,I17),"ddd"),"")</f>
        <v/>
      </c>
      <c r="J16" s="11">
        <f>IF(J17&lt;=$B$6,TEXT(DATE($D$5,$B$5,J17),"ddd"),"")</f>
        <v/>
      </c>
      <c r="K16" s="11">
        <f>IF(K17&lt;=$B$6,TEXT(DATE($D$5,$B$5,K17),"ddd"),"")</f>
        <v/>
      </c>
      <c r="L16" s="11">
        <f>IF(L17&lt;=$B$6,TEXT(DATE($D$5,$B$5,L17),"ddd"),"")</f>
        <v/>
      </c>
      <c r="M16" s="11">
        <f>IF(M17&lt;=$B$6,TEXT(DATE($D$5,$B$5,M17),"ddd"),"")</f>
        <v/>
      </c>
      <c r="N16" s="11">
        <f>IF(N17&lt;=$B$6,TEXT(DATE($D$5,$B$5,N17),"ddd"),"")</f>
        <v/>
      </c>
      <c r="O16" s="11">
        <f>IF(O17&lt;=$B$6,TEXT(DATE($D$5,$B$5,O17),"ddd"),"")</f>
        <v/>
      </c>
      <c r="P16" s="11">
        <f>IF(P17&lt;=$B$6,TEXT(DATE($D$5,$B$5,P17),"ddd"),"")</f>
        <v/>
      </c>
      <c r="Q16" s="11">
        <f>IF(Q17&lt;=$B$6,TEXT(DATE($D$5,$B$5,Q17),"ddd"),"")</f>
        <v/>
      </c>
      <c r="R16" s="11">
        <f>IF(R17&lt;=$B$6,TEXT(DATE($D$5,$B$5,R17),"ddd"),"")</f>
        <v/>
      </c>
      <c r="S16" s="11">
        <f>IF(S17&lt;=$B$6,TEXT(DATE($D$5,$B$5,S17),"ddd"),"")</f>
        <v/>
      </c>
      <c r="T16" s="11">
        <f>IF(T17&lt;=$B$6,TEXT(DATE($D$5,$B$5,T17),"ddd"),"")</f>
        <v/>
      </c>
      <c r="U16" s="11">
        <f>IF(U17&lt;=$B$6,TEXT(DATE($D$5,$B$5,U17),"ddd"),"")</f>
        <v/>
      </c>
      <c r="V16" s="11">
        <f>IF(V17&lt;=$B$6,TEXT(DATE($D$5,$B$5,V17),"ddd"),"")</f>
        <v/>
      </c>
      <c r="W16" s="11">
        <f>IF(W17&lt;=$B$6,TEXT(DATE($D$5,$B$5,W17),"ddd"),"")</f>
        <v/>
      </c>
      <c r="X16" s="11">
        <f>IF(X17&lt;=$B$6,TEXT(DATE($D$5,$B$5,X17),"ddd"),"")</f>
        <v/>
      </c>
      <c r="Y16" s="11">
        <f>IF(Y17&lt;=$B$6,TEXT(DATE($D$5,$B$5,Y17),"ddd"),"")</f>
        <v/>
      </c>
      <c r="Z16" s="11">
        <f>IF(Z17&lt;=$B$6,TEXT(DATE($D$5,$B$5,Z17),"ddd"),"")</f>
        <v/>
      </c>
      <c r="AA16" s="11">
        <f>IF(AA17&lt;=$B$6,TEXT(DATE($D$5,$B$5,AA17),"ddd"),"")</f>
        <v/>
      </c>
      <c r="AB16" s="11">
        <f>IF(AB17&lt;=$B$6,TEXT(DATE($D$5,$B$5,AB17),"ddd"),"")</f>
        <v/>
      </c>
      <c r="AC16" s="11">
        <f>IF(AC17&lt;=$B$6,TEXT(DATE($D$5,$B$5,AC17),"ddd"),"")</f>
        <v/>
      </c>
      <c r="AD16" s="11">
        <f>IF(AD17&lt;=$B$6,TEXT(DATE($D$5,$B$5,AD17),"ddd"),"")</f>
        <v/>
      </c>
      <c r="AE16" s="11">
        <f>IF(AE17&lt;=$B$6,TEXT(DATE($D$5,$B$5,AE17),"ddd"),"")</f>
        <v/>
      </c>
      <c r="AF16" s="11">
        <f>IF(AF17&lt;=$B$6,TEXT(DATE($D$5,$B$5,AF17),"ddd"),"")</f>
        <v/>
      </c>
      <c r="AG16" s="4" t="n"/>
      <c r="AH16" s="16" t="n"/>
      <c r="AI16" s="16" t="n"/>
      <c r="AJ16" s="16" t="n"/>
      <c r="AK16" s="16" t="n"/>
      <c r="AL16" s="16" t="n"/>
      <c r="AM16" s="16" t="n"/>
      <c r="AN16" s="4" t="n"/>
    </row>
    <row r="17">
      <c r="B17" s="13" t="n">
        <v>1</v>
      </c>
      <c r="C17" s="13" t="n">
        <v>2</v>
      </c>
      <c r="D17" s="13" t="n">
        <v>3</v>
      </c>
      <c r="E17" s="13" t="n">
        <v>4</v>
      </c>
      <c r="F17" s="13" t="n">
        <v>5</v>
      </c>
      <c r="G17" s="13" t="n">
        <v>6</v>
      </c>
      <c r="H17" s="13" t="n">
        <v>7</v>
      </c>
      <c r="I17" s="13" t="n">
        <v>8</v>
      </c>
      <c r="J17" s="13" t="n">
        <v>9</v>
      </c>
      <c r="K17" s="13" t="n">
        <v>10</v>
      </c>
      <c r="L17" s="13" t="n">
        <v>11</v>
      </c>
      <c r="M17" s="13" t="n">
        <v>12</v>
      </c>
      <c r="N17" s="13" t="n">
        <v>13</v>
      </c>
      <c r="O17" s="13" t="n">
        <v>14</v>
      </c>
      <c r="P17" s="13" t="n">
        <v>15</v>
      </c>
      <c r="Q17" s="13" t="n">
        <v>16</v>
      </c>
      <c r="R17" s="13" t="n">
        <v>17</v>
      </c>
      <c r="S17" s="13" t="n">
        <v>18</v>
      </c>
      <c r="T17" s="13" t="n">
        <v>19</v>
      </c>
      <c r="U17" s="13" t="n">
        <v>20</v>
      </c>
      <c r="V17" s="13" t="n">
        <v>21</v>
      </c>
      <c r="W17" s="13" t="n">
        <v>22</v>
      </c>
      <c r="X17" s="13" t="n">
        <v>23</v>
      </c>
      <c r="Y17" s="13" t="n">
        <v>24</v>
      </c>
      <c r="Z17" s="13" t="n">
        <v>25</v>
      </c>
      <c r="AA17" s="13" t="n">
        <v>26</v>
      </c>
      <c r="AB17" s="13" t="n">
        <v>27</v>
      </c>
      <c r="AC17" s="13" t="n">
        <v>28</v>
      </c>
      <c r="AD17" s="13" t="n">
        <v>29</v>
      </c>
      <c r="AE17" s="13" t="n">
        <v>30</v>
      </c>
      <c r="AF17" s="13" t="n">
        <v>31</v>
      </c>
      <c r="AG17" s="4" t="n"/>
      <c r="AH17" s="13" t="inlineStr">
        <is>
          <t>GOAL</t>
        </is>
      </c>
      <c r="AI17" s="13" t="inlineStr">
        <is>
          <t>ACTUAL</t>
        </is>
      </c>
      <c r="AJ17" s="13" t="inlineStr">
        <is>
          <t>LEFT</t>
        </is>
      </c>
      <c r="AK17" s="13" t="inlineStr">
        <is>
          <t>PROGRESS</t>
        </is>
      </c>
      <c r="AL17" s="13" t="inlineStr">
        <is>
          <t>STREAK</t>
        </is>
      </c>
      <c r="AM17" s="13" t="inlineStr">
        <is>
          <t>BEST</t>
        </is>
      </c>
      <c r="AN17" s="4" t="n"/>
    </row>
    <row r="18" ht="20" customHeight="1">
      <c r="A18" s="17" t="inlineStr">
        <is>
          <t>⏰  Wake Up at 6:00 AM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4" t="n"/>
      <c r="AH18" s="10">
        <f>$B$6</f>
        <v/>
      </c>
      <c r="AI18" s="10">
        <f>COUNTIF(B18:AF18,"✓")</f>
        <v/>
      </c>
      <c r="AJ18" s="10">
        <f>AH18-AI18</f>
        <v/>
      </c>
      <c r="AK18" s="19">
        <f>IF(AH18=0,0,AI18/AH18)</f>
        <v/>
      </c>
      <c r="AL18" s="10">
        <f>IF($D$6=1,INDEX(Helpers!B2:AF2,1),MAX(INDEX(Helpers!B2:AF2,$D$6),INDEX(Helpers!B2:AF2,MAX(1,$D$6-1))))</f>
        <v/>
      </c>
      <c r="AM18" s="10">
        <f>MAX(Helpers!B2:AF2)</f>
        <v/>
      </c>
      <c r="AN18" s="4" t="n"/>
      <c r="AO18" s="20" t="n">
        <v>1</v>
      </c>
      <c r="AP18" s="21">
        <f>INDEX($A$18:$A$25,MATCH(LARGE(Helpers!$B$18:$B$25,AO18),Helpers!$B$18:$B$25,0))&amp;"  ("&amp;TEXT(INDEX($AK$18:$AK$25,MATCH(LARGE(Helpers!$B$18:$B$25,AO18),Helpers!$B$18:$B$25,0)),"0%")&amp;")"</f>
        <v/>
      </c>
    </row>
    <row r="19" ht="20" customHeight="1">
      <c r="A19" s="17" t="inlineStr">
        <is>
          <t>🧘  Meditation / Stretch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4" t="n"/>
      <c r="AH19" s="10">
        <f>$B$6</f>
        <v/>
      </c>
      <c r="AI19" s="10">
        <f>COUNTIF(B19:AF19,"✓")</f>
        <v/>
      </c>
      <c r="AJ19" s="10">
        <f>AH19-AI19</f>
        <v/>
      </c>
      <c r="AK19" s="19">
        <f>IF(AH19=0,0,AI19/AH19)</f>
        <v/>
      </c>
      <c r="AL19" s="10">
        <f>IF($D$6=1,INDEX(Helpers!B3:AF3,1),MAX(INDEX(Helpers!B3:AF3,$D$6),INDEX(Helpers!B3:AF3,MAX(1,$D$6-1))))</f>
        <v/>
      </c>
      <c r="AM19" s="10">
        <f>MAX(Helpers!B3:AF3)</f>
        <v/>
      </c>
      <c r="AN19" s="4" t="n"/>
      <c r="AO19" s="20" t="n">
        <v>2</v>
      </c>
      <c r="AP19" s="21">
        <f>INDEX($A$18:$A$25,MATCH(LARGE(Helpers!$B$18:$B$25,AO19),Helpers!$B$18:$B$25,0))&amp;"  ("&amp;TEXT(INDEX($AK$18:$AK$25,MATCH(LARGE(Helpers!$B$18:$B$25,AO19),Helpers!$B$18:$B$25,0)),"0%")&amp;")"</f>
        <v/>
      </c>
    </row>
    <row r="20" ht="20" customHeight="1">
      <c r="A20" s="17" t="inlineStr">
        <is>
          <t>💪  Hit the Gym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4" t="n"/>
      <c r="AH20" s="10">
        <f>$B$6</f>
        <v/>
      </c>
      <c r="AI20" s="10">
        <f>COUNTIF(B20:AF20,"✓")</f>
        <v/>
      </c>
      <c r="AJ20" s="10">
        <f>AH20-AI20</f>
        <v/>
      </c>
      <c r="AK20" s="19">
        <f>IF(AH20=0,0,AI20/AH20)</f>
        <v/>
      </c>
      <c r="AL20" s="10">
        <f>IF($D$6=1,INDEX(Helpers!B4:AF4,1),MAX(INDEX(Helpers!B4:AF4,$D$6),INDEX(Helpers!B4:AF4,MAX(1,$D$6-1))))</f>
        <v/>
      </c>
      <c r="AM20" s="10">
        <f>MAX(Helpers!B4:AF4)</f>
        <v/>
      </c>
      <c r="AN20" s="4" t="n"/>
      <c r="AO20" s="20" t="n">
        <v>3</v>
      </c>
      <c r="AP20" s="21">
        <f>INDEX($A$18:$A$25,MATCH(LARGE(Helpers!$B$18:$B$25,AO20),Helpers!$B$18:$B$25,0))&amp;"  ("&amp;TEXT(INDEX($AK$18:$AK$25,MATCH(LARGE(Helpers!$B$18:$B$25,AO20),Helpers!$B$18:$B$25,0)),"0%")&amp;")"</f>
        <v/>
      </c>
    </row>
    <row r="21" ht="20" customHeight="1">
      <c r="A21" s="17" t="inlineStr">
        <is>
          <t>🚿  Cold Shower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4" t="n"/>
      <c r="AH21" s="10">
        <f>$B$6</f>
        <v/>
      </c>
      <c r="AI21" s="10">
        <f>COUNTIF(B21:AF21,"✓")</f>
        <v/>
      </c>
      <c r="AJ21" s="10">
        <f>AH21-AI21</f>
        <v/>
      </c>
      <c r="AK21" s="19">
        <f>IF(AH21=0,0,AI21/AH21)</f>
        <v/>
      </c>
      <c r="AL21" s="10">
        <f>IF($D$6=1,INDEX(Helpers!B5:AF5,1),MAX(INDEX(Helpers!B5:AF5,$D$6),INDEX(Helpers!B5:AF5,MAX(1,$D$6-1))))</f>
        <v/>
      </c>
      <c r="AM21" s="10">
        <f>MAX(Helpers!B5:AF5)</f>
        <v/>
      </c>
      <c r="AN21" s="4" t="n"/>
      <c r="AO21" s="20" t="n">
        <v>4</v>
      </c>
      <c r="AP21" s="21">
        <f>INDEX($A$18:$A$25,MATCH(LARGE(Helpers!$B$18:$B$25,AO21),Helpers!$B$18:$B$25,0))&amp;"  ("&amp;TEXT(INDEX($AK$18:$AK$25,MATCH(LARGE(Helpers!$B$18:$B$25,AO21),Helpers!$B$18:$B$25,0)),"0%")&amp;")"</f>
        <v/>
      </c>
    </row>
    <row r="22" ht="20" customHeight="1">
      <c r="A22" s="17" t="inlineStr">
        <is>
          <t>📖  Read 10 Pages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4" t="n"/>
      <c r="AH22" s="10">
        <f>$B$6</f>
        <v/>
      </c>
      <c r="AI22" s="10">
        <f>COUNTIF(B22:AF22,"✓")</f>
        <v/>
      </c>
      <c r="AJ22" s="10">
        <f>AH22-AI22</f>
        <v/>
      </c>
      <c r="AK22" s="19">
        <f>IF(AH22=0,0,AI22/AH22)</f>
        <v/>
      </c>
      <c r="AL22" s="10">
        <f>IF($D$6=1,INDEX(Helpers!B6:AF6,1),MAX(INDEX(Helpers!B6:AF6,$D$6),INDEX(Helpers!B6:AF6,MAX(1,$D$6-1))))</f>
        <v/>
      </c>
      <c r="AM22" s="10">
        <f>MAX(Helpers!B6:AF6)</f>
        <v/>
      </c>
      <c r="AN22" s="4" t="n"/>
      <c r="AO22" s="20" t="n">
        <v>5</v>
      </c>
      <c r="AP22" s="21">
        <f>INDEX($A$18:$A$25,MATCH(LARGE(Helpers!$B$18:$B$25,AO22),Helpers!$B$18:$B$25,0))&amp;"  ("&amp;TEXT(INDEX($AK$18:$AK$25,MATCH(LARGE(Helpers!$B$18:$B$25,AO22),Helpers!$B$18:$B$25,0)),"0%")&amp;")"</f>
        <v/>
      </c>
    </row>
    <row r="23" ht="20" customHeight="1">
      <c r="A23" s="17" t="inlineStr">
        <is>
          <t>🙏  Pray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4" t="n"/>
      <c r="AH23" s="10">
        <f>$B$6</f>
        <v/>
      </c>
      <c r="AI23" s="10">
        <f>COUNTIF(B23:AF23,"✓")</f>
        <v/>
      </c>
      <c r="AJ23" s="10">
        <f>AH23-AI23</f>
        <v/>
      </c>
      <c r="AK23" s="19">
        <f>IF(AH23=0,0,AI23/AH23)</f>
        <v/>
      </c>
      <c r="AL23" s="10">
        <f>IF($D$6=1,INDEX(Helpers!B7:AF7,1),MAX(INDEX(Helpers!B7:AF7,$D$6),INDEX(Helpers!B7:AF7,MAX(1,$D$6-1))))</f>
        <v/>
      </c>
      <c r="AM23" s="10">
        <f>MAX(Helpers!B7:AF7)</f>
        <v/>
      </c>
      <c r="AN23" s="4" t="n"/>
      <c r="AO23" s="20" t="n">
        <v>6</v>
      </c>
      <c r="AP23" s="21">
        <f>INDEX($A$18:$A$25,MATCH(LARGE(Helpers!$B$18:$B$25,AO23),Helpers!$B$18:$B$25,0))&amp;"  ("&amp;TEXT(INDEX($AK$18:$AK$25,MATCH(LARGE(Helpers!$B$18:$B$25,AO23),Helpers!$B$18:$B$25,0)),"0%")&amp;")"</f>
        <v/>
      </c>
    </row>
    <row r="24" ht="20" customHeight="1">
      <c r="A24" s="17" t="inlineStr">
        <is>
          <t>💻  Deep Work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4" t="n"/>
      <c r="AH24" s="10">
        <f>$B$6</f>
        <v/>
      </c>
      <c r="AI24" s="10">
        <f>COUNTIF(B24:AF24,"✓")</f>
        <v/>
      </c>
      <c r="AJ24" s="10">
        <f>AH24-AI24</f>
        <v/>
      </c>
      <c r="AK24" s="19">
        <f>IF(AH24=0,0,AI24/AH24)</f>
        <v/>
      </c>
      <c r="AL24" s="10">
        <f>IF($D$6=1,INDEX(Helpers!B8:AF8,1),MAX(INDEX(Helpers!B8:AF8,$D$6),INDEX(Helpers!B8:AF8,MAX(1,$D$6-1))))</f>
        <v/>
      </c>
      <c r="AM24" s="10">
        <f>MAX(Helpers!B8:AF8)</f>
        <v/>
      </c>
      <c r="AN24" s="4" t="n"/>
      <c r="AO24" s="20" t="n">
        <v>7</v>
      </c>
      <c r="AP24" s="21">
        <f>INDEX($A$18:$A$25,MATCH(LARGE(Helpers!$B$18:$B$25,AO24),Helpers!$B$18:$B$25,0))&amp;"  ("&amp;TEXT(INDEX($AK$18:$AK$25,MATCH(LARGE(Helpers!$B$18:$B$25,AO24),Helpers!$B$18:$B$25,0)),"0%")&amp;")"</f>
        <v/>
      </c>
    </row>
    <row r="25" ht="20" customHeight="1">
      <c r="A25" s="17" t="inlineStr">
        <is>
          <t>📵  Limit Social Media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4" t="n"/>
      <c r="AH25" s="10">
        <f>$B$6</f>
        <v/>
      </c>
      <c r="AI25" s="10">
        <f>COUNTIF(B25:AF25,"✓")</f>
        <v/>
      </c>
      <c r="AJ25" s="10">
        <f>AH25-AI25</f>
        <v/>
      </c>
      <c r="AK25" s="19">
        <f>IF(AH25=0,0,AI25/AH25)</f>
        <v/>
      </c>
      <c r="AL25" s="10">
        <f>IF($D$6=1,INDEX(Helpers!B9:AF9,1),MAX(INDEX(Helpers!B9:AF9,$D$6),INDEX(Helpers!B9:AF9,MAX(1,$D$6-1))))</f>
        <v/>
      </c>
      <c r="AM25" s="10">
        <f>MAX(Helpers!B9:AF9)</f>
        <v/>
      </c>
      <c r="AN25" s="4" t="n"/>
      <c r="AO25" s="20" t="n">
        <v>8</v>
      </c>
      <c r="AP25" s="21">
        <f>INDEX($A$18:$A$25,MATCH(LARGE(Helpers!$B$18:$B$25,AO25),Helpers!$B$18:$B$25,0))&amp;"  ("&amp;TEXT(INDEX($AK$18:$AK$25,MATCH(LARGE(Helpers!$B$18:$B$25,AO25),Helpers!$B$18:$B$25,0)),"0%")&amp;")"</f>
        <v/>
      </c>
    </row>
    <row r="26">
      <c r="A26" s="22" t="inlineStr">
        <is>
          <t>DAILY SCORE</t>
        </is>
      </c>
      <c r="B26" s="19">
        <f>IF(B17&lt;=$B$6,COUNTIF(B18:B25,"✓")/8,"")</f>
        <v/>
      </c>
      <c r="C26" s="19">
        <f>IF(C17&lt;=$B$6,COUNTIF(C18:C25,"✓")/8,"")</f>
        <v/>
      </c>
      <c r="D26" s="19">
        <f>IF(D17&lt;=$B$6,COUNTIF(D18:D25,"✓")/8,"")</f>
        <v/>
      </c>
      <c r="E26" s="19">
        <f>IF(E17&lt;=$B$6,COUNTIF(E18:E25,"✓")/8,"")</f>
        <v/>
      </c>
      <c r="F26" s="19">
        <f>IF(F17&lt;=$B$6,COUNTIF(F18:F25,"✓")/8,"")</f>
        <v/>
      </c>
      <c r="G26" s="19">
        <f>IF(G17&lt;=$B$6,COUNTIF(G18:G25,"✓")/8,"")</f>
        <v/>
      </c>
      <c r="H26" s="19">
        <f>IF(H17&lt;=$B$6,COUNTIF(H18:H25,"✓")/8,"")</f>
        <v/>
      </c>
      <c r="I26" s="19">
        <f>IF(I17&lt;=$B$6,COUNTIF(I18:I25,"✓")/8,"")</f>
        <v/>
      </c>
      <c r="J26" s="19">
        <f>IF(J17&lt;=$B$6,COUNTIF(J18:J25,"✓")/8,"")</f>
        <v/>
      </c>
      <c r="K26" s="19">
        <f>IF(K17&lt;=$B$6,COUNTIF(K18:K25,"✓")/8,"")</f>
        <v/>
      </c>
      <c r="L26" s="19">
        <f>IF(L17&lt;=$B$6,COUNTIF(L18:L25,"✓")/8,"")</f>
        <v/>
      </c>
      <c r="M26" s="19">
        <f>IF(M17&lt;=$B$6,COUNTIF(M18:M25,"✓")/8,"")</f>
        <v/>
      </c>
      <c r="N26" s="19">
        <f>IF(N17&lt;=$B$6,COUNTIF(N18:N25,"✓")/8,"")</f>
        <v/>
      </c>
      <c r="O26" s="19">
        <f>IF(O17&lt;=$B$6,COUNTIF(O18:O25,"✓")/8,"")</f>
        <v/>
      </c>
      <c r="P26" s="19">
        <f>IF(P17&lt;=$B$6,COUNTIF(P18:P25,"✓")/8,"")</f>
        <v/>
      </c>
      <c r="Q26" s="19">
        <f>IF(Q17&lt;=$B$6,COUNTIF(Q18:Q25,"✓")/8,"")</f>
        <v/>
      </c>
      <c r="R26" s="19">
        <f>IF(R17&lt;=$B$6,COUNTIF(R18:R25,"✓")/8,"")</f>
        <v/>
      </c>
      <c r="S26" s="19">
        <f>IF(S17&lt;=$B$6,COUNTIF(S18:S25,"✓")/8,"")</f>
        <v/>
      </c>
      <c r="T26" s="19">
        <f>IF(T17&lt;=$B$6,COUNTIF(T18:T25,"✓")/8,"")</f>
        <v/>
      </c>
      <c r="U26" s="19">
        <f>IF(U17&lt;=$B$6,COUNTIF(U18:U25,"✓")/8,"")</f>
        <v/>
      </c>
      <c r="V26" s="19">
        <f>IF(V17&lt;=$B$6,COUNTIF(V18:V25,"✓")/8,"")</f>
        <v/>
      </c>
      <c r="W26" s="19">
        <f>IF(W17&lt;=$B$6,COUNTIF(W18:W25,"✓")/8,"")</f>
        <v/>
      </c>
      <c r="X26" s="19">
        <f>IF(X17&lt;=$B$6,COUNTIF(X18:X25,"✓")/8,"")</f>
        <v/>
      </c>
      <c r="Y26" s="19">
        <f>IF(Y17&lt;=$B$6,COUNTIF(Y18:Y25,"✓")/8,"")</f>
        <v/>
      </c>
      <c r="Z26" s="19">
        <f>IF(Z17&lt;=$B$6,COUNTIF(Z18:Z25,"✓")/8,"")</f>
        <v/>
      </c>
      <c r="AA26" s="19">
        <f>IF(AA17&lt;=$B$6,COUNTIF(AA18:AA25,"✓")/8,"")</f>
        <v/>
      </c>
      <c r="AB26" s="19">
        <f>IF(AB17&lt;=$B$6,COUNTIF(AB18:AB25,"✓")/8,"")</f>
        <v/>
      </c>
      <c r="AC26" s="19">
        <f>IF(AC17&lt;=$B$6,COUNTIF(AC18:AC25,"✓")/8,"")</f>
        <v/>
      </c>
      <c r="AD26" s="19">
        <f>IF(AD17&lt;=$B$6,COUNTIF(AD18:AD25,"✓")/8,"")</f>
        <v/>
      </c>
      <c r="AE26" s="19">
        <f>IF(AE17&lt;=$B$6,COUNTIF(AE18:AE25,"✓")/8,"")</f>
        <v/>
      </c>
      <c r="AF26" s="19">
        <f>IF(AF17&lt;=$B$6,COUNTIF(AF18:AF25,"✓")/8,"")</f>
        <v/>
      </c>
      <c r="AG26" s="4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</row>
    <row r="27" ht="20" customHeight="1">
      <c r="A27" s="8" t="inlineStr">
        <is>
          <t>MENTAL STATE TRACKER  —  rate 1-10 each day</t>
        </is>
      </c>
    </row>
    <row r="28">
      <c r="A28" s="22" t="inlineStr">
        <is>
          <t>MOOD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4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</row>
    <row r="29">
      <c r="A29" s="22" t="inlineStr">
        <is>
          <t>MOTIVATION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4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</row>
    <row r="47">
      <c r="A47" s="1" t="inlineStr">
        <is>
          <t>© Nikolas Moore — Discipline Goal Tracker</t>
        </is>
      </c>
    </row>
  </sheetData>
  <mergeCells count="16">
    <mergeCell ref="AI3:AM3"/>
    <mergeCell ref="A4:E4"/>
    <mergeCell ref="A14:AP14"/>
    <mergeCell ref="AH15:AM15"/>
    <mergeCell ref="A2:E2"/>
    <mergeCell ref="AO15:AP17"/>
    <mergeCell ref="A27:AP27"/>
    <mergeCell ref="AD15:AF15"/>
    <mergeCell ref="AI1:AM1"/>
    <mergeCell ref="AI2:AM2"/>
    <mergeCell ref="A1:E1"/>
    <mergeCell ref="A15:A17"/>
    <mergeCell ref="B15:H15"/>
    <mergeCell ref="I15:O15"/>
    <mergeCell ref="P15:V15"/>
    <mergeCell ref="W15:AC15"/>
  </mergeCells>
  <conditionalFormatting sqref="B18:AF25">
    <cfRule type="cellIs" priority="1" operator="equal" dxfId="0">
      <formula>"✓"</formula>
    </cfRule>
  </conditionalFormatting>
  <conditionalFormatting sqref="AK18:AK25">
    <cfRule type="cellIs" priority="2" operator="greaterThanOrEqual" dxfId="1">
      <formula>0.8</formula>
    </cfRule>
    <cfRule type="cellIs" priority="3" operator="between" dxfId="2">
      <formula>0.5</formula>
      <formula>0.7999</formula>
    </cfRule>
    <cfRule type="cellIs" priority="4" operator="lessThan" dxfId="3">
      <formula>0.5</formula>
    </cfRule>
    <cfRule type="dataBar" priority="8">
      <dataBar showValue="1">
        <cfvo type="num" val="0"/>
        <cfvo type="num" val="1"/>
        <color rgb="00C2A98A"/>
      </dataBar>
    </cfRule>
  </conditionalFormatting>
  <conditionalFormatting sqref="B26:AF26">
    <cfRule type="cellIs" priority="5" operator="greaterThanOrEqual" dxfId="1">
      <formula>0.8</formula>
    </cfRule>
    <cfRule type="cellIs" priority="6" operator="between" dxfId="2">
      <formula>0.5</formula>
      <formula>0.7999</formula>
    </cfRule>
    <cfRule type="cellIs" priority="7" operator="lessThan" dxfId="3">
      <formula>0.5</formula>
    </cfRule>
  </conditionalFormatting>
  <dataValidations count="311">
    <dataValidation sqref="B5" showDropDown="0" showInputMessage="0" showErrorMessage="0" allowBlank="0" type="whole" operator="between">
      <formula1>1</formula1>
      <formula2>12</formula2>
    </dataValidation>
    <dataValidation sqref="B18" showDropDown="0" showInputMessage="0" showErrorMessage="0" allowBlank="1" type="list">
      <formula1>"✓,"</formula1>
    </dataValidation>
    <dataValidation sqref="C18" showDropDown="0" showInputMessage="0" showErrorMessage="0" allowBlank="1" type="list">
      <formula1>"✓,"</formula1>
    </dataValidation>
    <dataValidation sqref="D18" showDropDown="0" showInputMessage="0" showErrorMessage="0" allowBlank="1" type="list">
      <formula1>"✓,"</formula1>
    </dataValidation>
    <dataValidation sqref="E18" showDropDown="0" showInputMessage="0" showErrorMessage="0" allowBlank="1" type="list">
      <formula1>"✓,"</formula1>
    </dataValidation>
    <dataValidation sqref="F18" showDropDown="0" showInputMessage="0" showErrorMessage="0" allowBlank="1" type="list">
      <formula1>"✓,"</formula1>
    </dataValidation>
    <dataValidation sqref="G18" showDropDown="0" showInputMessage="0" showErrorMessage="0" allowBlank="1" type="list">
      <formula1>"✓,"</formula1>
    </dataValidation>
    <dataValidation sqref="H18" showDropDown="0" showInputMessage="0" showErrorMessage="0" allowBlank="1" type="list">
      <formula1>"✓,"</formula1>
    </dataValidation>
    <dataValidation sqref="I18" showDropDown="0" showInputMessage="0" showErrorMessage="0" allowBlank="1" type="list">
      <formula1>"✓,"</formula1>
    </dataValidation>
    <dataValidation sqref="J18" showDropDown="0" showInputMessage="0" showErrorMessage="0" allowBlank="1" type="list">
      <formula1>"✓,"</formula1>
    </dataValidation>
    <dataValidation sqref="K18" showDropDown="0" showInputMessage="0" showErrorMessage="0" allowBlank="1" type="list">
      <formula1>"✓,"</formula1>
    </dataValidation>
    <dataValidation sqref="L18" showDropDown="0" showInputMessage="0" showErrorMessage="0" allowBlank="1" type="list">
      <formula1>"✓,"</formula1>
    </dataValidation>
    <dataValidation sqref="M18" showDropDown="0" showInputMessage="0" showErrorMessage="0" allowBlank="1" type="list">
      <formula1>"✓,"</formula1>
    </dataValidation>
    <dataValidation sqref="N18" showDropDown="0" showInputMessage="0" showErrorMessage="0" allowBlank="1" type="list">
      <formula1>"✓,"</formula1>
    </dataValidation>
    <dataValidation sqref="O18" showDropDown="0" showInputMessage="0" showErrorMessage="0" allowBlank="1" type="list">
      <formula1>"✓,"</formula1>
    </dataValidation>
    <dataValidation sqref="P18" showDropDown="0" showInputMessage="0" showErrorMessage="0" allowBlank="1" type="list">
      <formula1>"✓,"</formula1>
    </dataValidation>
    <dataValidation sqref="Q18" showDropDown="0" showInputMessage="0" showErrorMessage="0" allowBlank="1" type="list">
      <formula1>"✓,"</formula1>
    </dataValidation>
    <dataValidation sqref="R18" showDropDown="0" showInputMessage="0" showErrorMessage="0" allowBlank="1" type="list">
      <formula1>"✓,"</formula1>
    </dataValidation>
    <dataValidation sqref="S18" showDropDown="0" showInputMessage="0" showErrorMessage="0" allowBlank="1" type="list">
      <formula1>"✓,"</formula1>
    </dataValidation>
    <dataValidation sqref="T18" showDropDown="0" showInputMessage="0" showErrorMessage="0" allowBlank="1" type="list">
      <formula1>"✓,"</formula1>
    </dataValidation>
    <dataValidation sqref="U18" showDropDown="0" showInputMessage="0" showErrorMessage="0" allowBlank="1" type="list">
      <formula1>"✓,"</formula1>
    </dataValidation>
    <dataValidation sqref="V18" showDropDown="0" showInputMessage="0" showErrorMessage="0" allowBlank="1" type="list">
      <formula1>"✓,"</formula1>
    </dataValidation>
    <dataValidation sqref="W18" showDropDown="0" showInputMessage="0" showErrorMessage="0" allowBlank="1" type="list">
      <formula1>"✓,"</formula1>
    </dataValidation>
    <dataValidation sqref="X18" showDropDown="0" showInputMessage="0" showErrorMessage="0" allowBlank="1" type="list">
      <formula1>"✓,"</formula1>
    </dataValidation>
    <dataValidation sqref="Y18" showDropDown="0" showInputMessage="0" showErrorMessage="0" allowBlank="1" type="list">
      <formula1>"✓,"</formula1>
    </dataValidation>
    <dataValidation sqref="Z18" showDropDown="0" showInputMessage="0" showErrorMessage="0" allowBlank="1" type="list">
      <formula1>"✓,"</formula1>
    </dataValidation>
    <dataValidation sqref="AA18" showDropDown="0" showInputMessage="0" showErrorMessage="0" allowBlank="1" type="list">
      <formula1>"✓,"</formula1>
    </dataValidation>
    <dataValidation sqref="AB18" showDropDown="0" showInputMessage="0" showErrorMessage="0" allowBlank="1" type="list">
      <formula1>"✓,"</formula1>
    </dataValidation>
    <dataValidation sqref="AC18" showDropDown="0" showInputMessage="0" showErrorMessage="0" allowBlank="1" type="list">
      <formula1>"✓,"</formula1>
    </dataValidation>
    <dataValidation sqref="AD18" showDropDown="0" showInputMessage="0" showErrorMessage="0" allowBlank="1" type="list">
      <formula1>"✓,"</formula1>
    </dataValidation>
    <dataValidation sqref="AE18" showDropDown="0" showInputMessage="0" showErrorMessage="0" allowBlank="1" type="list">
      <formula1>"✓,"</formula1>
    </dataValidation>
    <dataValidation sqref="AF18" showDropDown="0" showInputMessage="0" showErrorMessage="0" allowBlank="1" type="list">
      <formula1>"✓,"</formula1>
    </dataValidation>
    <dataValidation sqref="B19" showDropDown="0" showInputMessage="0" showErrorMessage="0" allowBlank="1" type="list">
      <formula1>"✓,"</formula1>
    </dataValidation>
    <dataValidation sqref="C19" showDropDown="0" showInputMessage="0" showErrorMessage="0" allowBlank="1" type="list">
      <formula1>"✓,"</formula1>
    </dataValidation>
    <dataValidation sqref="D19" showDropDown="0" showInputMessage="0" showErrorMessage="0" allowBlank="1" type="list">
      <formula1>"✓,"</formula1>
    </dataValidation>
    <dataValidation sqref="E19" showDropDown="0" showInputMessage="0" showErrorMessage="0" allowBlank="1" type="list">
      <formula1>"✓,"</formula1>
    </dataValidation>
    <dataValidation sqref="F19" showDropDown="0" showInputMessage="0" showErrorMessage="0" allowBlank="1" type="list">
      <formula1>"✓,"</formula1>
    </dataValidation>
    <dataValidation sqref="G19" showDropDown="0" showInputMessage="0" showErrorMessage="0" allowBlank="1" type="list">
      <formula1>"✓,"</formula1>
    </dataValidation>
    <dataValidation sqref="H19" showDropDown="0" showInputMessage="0" showErrorMessage="0" allowBlank="1" type="list">
      <formula1>"✓,"</formula1>
    </dataValidation>
    <dataValidation sqref="I19" showDropDown="0" showInputMessage="0" showErrorMessage="0" allowBlank="1" type="list">
      <formula1>"✓,"</formula1>
    </dataValidation>
    <dataValidation sqref="J19" showDropDown="0" showInputMessage="0" showErrorMessage="0" allowBlank="1" type="list">
      <formula1>"✓,"</formula1>
    </dataValidation>
    <dataValidation sqref="K19" showDropDown="0" showInputMessage="0" showErrorMessage="0" allowBlank="1" type="list">
      <formula1>"✓,"</formula1>
    </dataValidation>
    <dataValidation sqref="L19" showDropDown="0" showInputMessage="0" showErrorMessage="0" allowBlank="1" type="list">
      <formula1>"✓,"</formula1>
    </dataValidation>
    <dataValidation sqref="M19" showDropDown="0" showInputMessage="0" showErrorMessage="0" allowBlank="1" type="list">
      <formula1>"✓,"</formula1>
    </dataValidation>
    <dataValidation sqref="N19" showDropDown="0" showInputMessage="0" showErrorMessage="0" allowBlank="1" type="list">
      <formula1>"✓,"</formula1>
    </dataValidation>
    <dataValidation sqref="O19" showDropDown="0" showInputMessage="0" showErrorMessage="0" allowBlank="1" type="list">
      <formula1>"✓,"</formula1>
    </dataValidation>
    <dataValidation sqref="P19" showDropDown="0" showInputMessage="0" showErrorMessage="0" allowBlank="1" type="list">
      <formula1>"✓,"</formula1>
    </dataValidation>
    <dataValidation sqref="Q19" showDropDown="0" showInputMessage="0" showErrorMessage="0" allowBlank="1" type="list">
      <formula1>"✓,"</formula1>
    </dataValidation>
    <dataValidation sqref="R19" showDropDown="0" showInputMessage="0" showErrorMessage="0" allowBlank="1" type="list">
      <formula1>"✓,"</formula1>
    </dataValidation>
    <dataValidation sqref="S19" showDropDown="0" showInputMessage="0" showErrorMessage="0" allowBlank="1" type="list">
      <formula1>"✓,"</formula1>
    </dataValidation>
    <dataValidation sqref="T19" showDropDown="0" showInputMessage="0" showErrorMessage="0" allowBlank="1" type="list">
      <formula1>"✓,"</formula1>
    </dataValidation>
    <dataValidation sqref="U19" showDropDown="0" showInputMessage="0" showErrorMessage="0" allowBlank="1" type="list">
      <formula1>"✓,"</formula1>
    </dataValidation>
    <dataValidation sqref="V19" showDropDown="0" showInputMessage="0" showErrorMessage="0" allowBlank="1" type="list">
      <formula1>"✓,"</formula1>
    </dataValidation>
    <dataValidation sqref="W19" showDropDown="0" showInputMessage="0" showErrorMessage="0" allowBlank="1" type="list">
      <formula1>"✓,"</formula1>
    </dataValidation>
    <dataValidation sqref="X19" showDropDown="0" showInputMessage="0" showErrorMessage="0" allowBlank="1" type="list">
      <formula1>"✓,"</formula1>
    </dataValidation>
    <dataValidation sqref="Y19" showDropDown="0" showInputMessage="0" showErrorMessage="0" allowBlank="1" type="list">
      <formula1>"✓,"</formula1>
    </dataValidation>
    <dataValidation sqref="Z19" showDropDown="0" showInputMessage="0" showErrorMessage="0" allowBlank="1" type="list">
      <formula1>"✓,"</formula1>
    </dataValidation>
    <dataValidation sqref="AA19" showDropDown="0" showInputMessage="0" showErrorMessage="0" allowBlank="1" type="list">
      <formula1>"✓,"</formula1>
    </dataValidation>
    <dataValidation sqref="AB19" showDropDown="0" showInputMessage="0" showErrorMessage="0" allowBlank="1" type="list">
      <formula1>"✓,"</formula1>
    </dataValidation>
    <dataValidation sqref="AC19" showDropDown="0" showInputMessage="0" showErrorMessage="0" allowBlank="1" type="list">
      <formula1>"✓,"</formula1>
    </dataValidation>
    <dataValidation sqref="AD19" showDropDown="0" showInputMessage="0" showErrorMessage="0" allowBlank="1" type="list">
      <formula1>"✓,"</formula1>
    </dataValidation>
    <dataValidation sqref="AE19" showDropDown="0" showInputMessage="0" showErrorMessage="0" allowBlank="1" type="list">
      <formula1>"✓,"</formula1>
    </dataValidation>
    <dataValidation sqref="AF19" showDropDown="0" showInputMessage="0" showErrorMessage="0" allowBlank="1" type="list">
      <formula1>"✓,"</formula1>
    </dataValidation>
    <dataValidation sqref="B20" showDropDown="0" showInputMessage="0" showErrorMessage="0" allowBlank="1" type="list">
      <formula1>"✓,"</formula1>
    </dataValidation>
    <dataValidation sqref="C20" showDropDown="0" showInputMessage="0" showErrorMessage="0" allowBlank="1" type="list">
      <formula1>"✓,"</formula1>
    </dataValidation>
    <dataValidation sqref="D20" showDropDown="0" showInputMessage="0" showErrorMessage="0" allowBlank="1" type="list">
      <formula1>"✓,"</formula1>
    </dataValidation>
    <dataValidation sqref="E20" showDropDown="0" showInputMessage="0" showErrorMessage="0" allowBlank="1" type="list">
      <formula1>"✓,"</formula1>
    </dataValidation>
    <dataValidation sqref="F20" showDropDown="0" showInputMessage="0" showErrorMessage="0" allowBlank="1" type="list">
      <formula1>"✓,"</formula1>
    </dataValidation>
    <dataValidation sqref="G20" showDropDown="0" showInputMessage="0" showErrorMessage="0" allowBlank="1" type="list">
      <formula1>"✓,"</formula1>
    </dataValidation>
    <dataValidation sqref="H20" showDropDown="0" showInputMessage="0" showErrorMessage="0" allowBlank="1" type="list">
      <formula1>"✓,"</formula1>
    </dataValidation>
    <dataValidation sqref="I20" showDropDown="0" showInputMessage="0" showErrorMessage="0" allowBlank="1" type="list">
      <formula1>"✓,"</formula1>
    </dataValidation>
    <dataValidation sqref="J20" showDropDown="0" showInputMessage="0" showErrorMessage="0" allowBlank="1" type="list">
      <formula1>"✓,"</formula1>
    </dataValidation>
    <dataValidation sqref="K20" showDropDown="0" showInputMessage="0" showErrorMessage="0" allowBlank="1" type="list">
      <formula1>"✓,"</formula1>
    </dataValidation>
    <dataValidation sqref="L20" showDropDown="0" showInputMessage="0" showErrorMessage="0" allowBlank="1" type="list">
      <formula1>"✓,"</formula1>
    </dataValidation>
    <dataValidation sqref="M20" showDropDown="0" showInputMessage="0" showErrorMessage="0" allowBlank="1" type="list">
      <formula1>"✓,"</formula1>
    </dataValidation>
    <dataValidation sqref="N20" showDropDown="0" showInputMessage="0" showErrorMessage="0" allowBlank="1" type="list">
      <formula1>"✓,"</formula1>
    </dataValidation>
    <dataValidation sqref="O20" showDropDown="0" showInputMessage="0" showErrorMessage="0" allowBlank="1" type="list">
      <formula1>"✓,"</formula1>
    </dataValidation>
    <dataValidation sqref="P20" showDropDown="0" showInputMessage="0" showErrorMessage="0" allowBlank="1" type="list">
      <formula1>"✓,"</formula1>
    </dataValidation>
    <dataValidation sqref="Q20" showDropDown="0" showInputMessage="0" showErrorMessage="0" allowBlank="1" type="list">
      <formula1>"✓,"</formula1>
    </dataValidation>
    <dataValidation sqref="R20" showDropDown="0" showInputMessage="0" showErrorMessage="0" allowBlank="1" type="list">
      <formula1>"✓,"</formula1>
    </dataValidation>
    <dataValidation sqref="S20" showDropDown="0" showInputMessage="0" showErrorMessage="0" allowBlank="1" type="list">
      <formula1>"✓,"</formula1>
    </dataValidation>
    <dataValidation sqref="T20" showDropDown="0" showInputMessage="0" showErrorMessage="0" allowBlank="1" type="list">
      <formula1>"✓,"</formula1>
    </dataValidation>
    <dataValidation sqref="U20" showDropDown="0" showInputMessage="0" showErrorMessage="0" allowBlank="1" type="list">
      <formula1>"✓,"</formula1>
    </dataValidation>
    <dataValidation sqref="V20" showDropDown="0" showInputMessage="0" showErrorMessage="0" allowBlank="1" type="list">
      <formula1>"✓,"</formula1>
    </dataValidation>
    <dataValidation sqref="W20" showDropDown="0" showInputMessage="0" showErrorMessage="0" allowBlank="1" type="list">
      <formula1>"✓,"</formula1>
    </dataValidation>
    <dataValidation sqref="X20" showDropDown="0" showInputMessage="0" showErrorMessage="0" allowBlank="1" type="list">
      <formula1>"✓,"</formula1>
    </dataValidation>
    <dataValidation sqref="Y20" showDropDown="0" showInputMessage="0" showErrorMessage="0" allowBlank="1" type="list">
      <formula1>"✓,"</formula1>
    </dataValidation>
    <dataValidation sqref="Z20" showDropDown="0" showInputMessage="0" showErrorMessage="0" allowBlank="1" type="list">
      <formula1>"✓,"</formula1>
    </dataValidation>
    <dataValidation sqref="AA20" showDropDown="0" showInputMessage="0" showErrorMessage="0" allowBlank="1" type="list">
      <formula1>"✓,"</formula1>
    </dataValidation>
    <dataValidation sqref="AB20" showDropDown="0" showInputMessage="0" showErrorMessage="0" allowBlank="1" type="list">
      <formula1>"✓,"</formula1>
    </dataValidation>
    <dataValidation sqref="AC20" showDropDown="0" showInputMessage="0" showErrorMessage="0" allowBlank="1" type="list">
      <formula1>"✓,"</formula1>
    </dataValidation>
    <dataValidation sqref="AD20" showDropDown="0" showInputMessage="0" showErrorMessage="0" allowBlank="1" type="list">
      <formula1>"✓,"</formula1>
    </dataValidation>
    <dataValidation sqref="AE20" showDropDown="0" showInputMessage="0" showErrorMessage="0" allowBlank="1" type="list">
      <formula1>"✓,"</formula1>
    </dataValidation>
    <dataValidation sqref="AF20" showDropDown="0" showInputMessage="0" showErrorMessage="0" allowBlank="1" type="list">
      <formula1>"✓,"</formula1>
    </dataValidation>
    <dataValidation sqref="B21" showDropDown="0" showInputMessage="0" showErrorMessage="0" allowBlank="1" type="list">
      <formula1>"✓,"</formula1>
    </dataValidation>
    <dataValidation sqref="C21" showDropDown="0" showInputMessage="0" showErrorMessage="0" allowBlank="1" type="list">
      <formula1>"✓,"</formula1>
    </dataValidation>
    <dataValidation sqref="D21" showDropDown="0" showInputMessage="0" showErrorMessage="0" allowBlank="1" type="list">
      <formula1>"✓,"</formula1>
    </dataValidation>
    <dataValidation sqref="E21" showDropDown="0" showInputMessage="0" showErrorMessage="0" allowBlank="1" type="list">
      <formula1>"✓,"</formula1>
    </dataValidation>
    <dataValidation sqref="F21" showDropDown="0" showInputMessage="0" showErrorMessage="0" allowBlank="1" type="list">
      <formula1>"✓,"</formula1>
    </dataValidation>
    <dataValidation sqref="G21" showDropDown="0" showInputMessage="0" showErrorMessage="0" allowBlank="1" type="list">
      <formula1>"✓,"</formula1>
    </dataValidation>
    <dataValidation sqref="H21" showDropDown="0" showInputMessage="0" showErrorMessage="0" allowBlank="1" type="list">
      <formula1>"✓,"</formula1>
    </dataValidation>
    <dataValidation sqref="I21" showDropDown="0" showInputMessage="0" showErrorMessage="0" allowBlank="1" type="list">
      <formula1>"✓,"</formula1>
    </dataValidation>
    <dataValidation sqref="J21" showDropDown="0" showInputMessage="0" showErrorMessage="0" allowBlank="1" type="list">
      <formula1>"✓,"</formula1>
    </dataValidation>
    <dataValidation sqref="K21" showDropDown="0" showInputMessage="0" showErrorMessage="0" allowBlank="1" type="list">
      <formula1>"✓,"</formula1>
    </dataValidation>
    <dataValidation sqref="L21" showDropDown="0" showInputMessage="0" showErrorMessage="0" allowBlank="1" type="list">
      <formula1>"✓,"</formula1>
    </dataValidation>
    <dataValidation sqref="M21" showDropDown="0" showInputMessage="0" showErrorMessage="0" allowBlank="1" type="list">
      <formula1>"✓,"</formula1>
    </dataValidation>
    <dataValidation sqref="N21" showDropDown="0" showInputMessage="0" showErrorMessage="0" allowBlank="1" type="list">
      <formula1>"✓,"</formula1>
    </dataValidation>
    <dataValidation sqref="O21" showDropDown="0" showInputMessage="0" showErrorMessage="0" allowBlank="1" type="list">
      <formula1>"✓,"</formula1>
    </dataValidation>
    <dataValidation sqref="P21" showDropDown="0" showInputMessage="0" showErrorMessage="0" allowBlank="1" type="list">
      <formula1>"✓,"</formula1>
    </dataValidation>
    <dataValidation sqref="Q21" showDropDown="0" showInputMessage="0" showErrorMessage="0" allowBlank="1" type="list">
      <formula1>"✓,"</formula1>
    </dataValidation>
    <dataValidation sqref="R21" showDropDown="0" showInputMessage="0" showErrorMessage="0" allowBlank="1" type="list">
      <formula1>"✓,"</formula1>
    </dataValidation>
    <dataValidation sqref="S21" showDropDown="0" showInputMessage="0" showErrorMessage="0" allowBlank="1" type="list">
      <formula1>"✓,"</formula1>
    </dataValidation>
    <dataValidation sqref="T21" showDropDown="0" showInputMessage="0" showErrorMessage="0" allowBlank="1" type="list">
      <formula1>"✓,"</formula1>
    </dataValidation>
    <dataValidation sqref="U21" showDropDown="0" showInputMessage="0" showErrorMessage="0" allowBlank="1" type="list">
      <formula1>"✓,"</formula1>
    </dataValidation>
    <dataValidation sqref="V21" showDropDown="0" showInputMessage="0" showErrorMessage="0" allowBlank="1" type="list">
      <formula1>"✓,"</formula1>
    </dataValidation>
    <dataValidation sqref="W21" showDropDown="0" showInputMessage="0" showErrorMessage="0" allowBlank="1" type="list">
      <formula1>"✓,"</formula1>
    </dataValidation>
    <dataValidation sqref="X21" showDropDown="0" showInputMessage="0" showErrorMessage="0" allowBlank="1" type="list">
      <formula1>"✓,"</formula1>
    </dataValidation>
    <dataValidation sqref="Y21" showDropDown="0" showInputMessage="0" showErrorMessage="0" allowBlank="1" type="list">
      <formula1>"✓,"</formula1>
    </dataValidation>
    <dataValidation sqref="Z21" showDropDown="0" showInputMessage="0" showErrorMessage="0" allowBlank="1" type="list">
      <formula1>"✓,"</formula1>
    </dataValidation>
    <dataValidation sqref="AA21" showDropDown="0" showInputMessage="0" showErrorMessage="0" allowBlank="1" type="list">
      <formula1>"✓,"</formula1>
    </dataValidation>
    <dataValidation sqref="AB21" showDropDown="0" showInputMessage="0" showErrorMessage="0" allowBlank="1" type="list">
      <formula1>"✓,"</formula1>
    </dataValidation>
    <dataValidation sqref="AC21" showDropDown="0" showInputMessage="0" showErrorMessage="0" allowBlank="1" type="list">
      <formula1>"✓,"</formula1>
    </dataValidation>
    <dataValidation sqref="AD21" showDropDown="0" showInputMessage="0" showErrorMessage="0" allowBlank="1" type="list">
      <formula1>"✓,"</formula1>
    </dataValidation>
    <dataValidation sqref="AE21" showDropDown="0" showInputMessage="0" showErrorMessage="0" allowBlank="1" type="list">
      <formula1>"✓,"</formula1>
    </dataValidation>
    <dataValidation sqref="AF21" showDropDown="0" showInputMessage="0" showErrorMessage="0" allowBlank="1" type="list">
      <formula1>"✓,"</formula1>
    </dataValidation>
    <dataValidation sqref="B22" showDropDown="0" showInputMessage="0" showErrorMessage="0" allowBlank="1" type="list">
      <formula1>"✓,"</formula1>
    </dataValidation>
    <dataValidation sqref="C22" showDropDown="0" showInputMessage="0" showErrorMessage="0" allowBlank="1" type="list">
      <formula1>"✓,"</formula1>
    </dataValidation>
    <dataValidation sqref="D22" showDropDown="0" showInputMessage="0" showErrorMessage="0" allowBlank="1" type="list">
      <formula1>"✓,"</formula1>
    </dataValidation>
    <dataValidation sqref="E22" showDropDown="0" showInputMessage="0" showErrorMessage="0" allowBlank="1" type="list">
      <formula1>"✓,"</formula1>
    </dataValidation>
    <dataValidation sqref="F22" showDropDown="0" showInputMessage="0" showErrorMessage="0" allowBlank="1" type="list">
      <formula1>"✓,"</formula1>
    </dataValidation>
    <dataValidation sqref="G22" showDropDown="0" showInputMessage="0" showErrorMessage="0" allowBlank="1" type="list">
      <formula1>"✓,"</formula1>
    </dataValidation>
    <dataValidation sqref="H22" showDropDown="0" showInputMessage="0" showErrorMessage="0" allowBlank="1" type="list">
      <formula1>"✓,"</formula1>
    </dataValidation>
    <dataValidation sqref="I22" showDropDown="0" showInputMessage="0" showErrorMessage="0" allowBlank="1" type="list">
      <formula1>"✓,"</formula1>
    </dataValidation>
    <dataValidation sqref="J22" showDropDown="0" showInputMessage="0" showErrorMessage="0" allowBlank="1" type="list">
      <formula1>"✓,"</formula1>
    </dataValidation>
    <dataValidation sqref="K22" showDropDown="0" showInputMessage="0" showErrorMessage="0" allowBlank="1" type="list">
      <formula1>"✓,"</formula1>
    </dataValidation>
    <dataValidation sqref="L22" showDropDown="0" showInputMessage="0" showErrorMessage="0" allowBlank="1" type="list">
      <formula1>"✓,"</formula1>
    </dataValidation>
    <dataValidation sqref="M22" showDropDown="0" showInputMessage="0" showErrorMessage="0" allowBlank="1" type="list">
      <formula1>"✓,"</formula1>
    </dataValidation>
    <dataValidation sqref="N22" showDropDown="0" showInputMessage="0" showErrorMessage="0" allowBlank="1" type="list">
      <formula1>"✓,"</formula1>
    </dataValidation>
    <dataValidation sqref="O22" showDropDown="0" showInputMessage="0" showErrorMessage="0" allowBlank="1" type="list">
      <formula1>"✓,"</formula1>
    </dataValidation>
    <dataValidation sqref="P22" showDropDown="0" showInputMessage="0" showErrorMessage="0" allowBlank="1" type="list">
      <formula1>"✓,"</formula1>
    </dataValidation>
    <dataValidation sqref="Q22" showDropDown="0" showInputMessage="0" showErrorMessage="0" allowBlank="1" type="list">
      <formula1>"✓,"</formula1>
    </dataValidation>
    <dataValidation sqref="R22" showDropDown="0" showInputMessage="0" showErrorMessage="0" allowBlank="1" type="list">
      <formula1>"✓,"</formula1>
    </dataValidation>
    <dataValidation sqref="S22" showDropDown="0" showInputMessage="0" showErrorMessage="0" allowBlank="1" type="list">
      <formula1>"✓,"</formula1>
    </dataValidation>
    <dataValidation sqref="T22" showDropDown="0" showInputMessage="0" showErrorMessage="0" allowBlank="1" type="list">
      <formula1>"✓,"</formula1>
    </dataValidation>
    <dataValidation sqref="U22" showDropDown="0" showInputMessage="0" showErrorMessage="0" allowBlank="1" type="list">
      <formula1>"✓,"</formula1>
    </dataValidation>
    <dataValidation sqref="V22" showDropDown="0" showInputMessage="0" showErrorMessage="0" allowBlank="1" type="list">
      <formula1>"✓,"</formula1>
    </dataValidation>
    <dataValidation sqref="W22" showDropDown="0" showInputMessage="0" showErrorMessage="0" allowBlank="1" type="list">
      <formula1>"✓,"</formula1>
    </dataValidation>
    <dataValidation sqref="X22" showDropDown="0" showInputMessage="0" showErrorMessage="0" allowBlank="1" type="list">
      <formula1>"✓,"</formula1>
    </dataValidation>
    <dataValidation sqref="Y22" showDropDown="0" showInputMessage="0" showErrorMessage="0" allowBlank="1" type="list">
      <formula1>"✓,"</formula1>
    </dataValidation>
    <dataValidation sqref="Z22" showDropDown="0" showInputMessage="0" showErrorMessage="0" allowBlank="1" type="list">
      <formula1>"✓,"</formula1>
    </dataValidation>
    <dataValidation sqref="AA22" showDropDown="0" showInputMessage="0" showErrorMessage="0" allowBlank="1" type="list">
      <formula1>"✓,"</formula1>
    </dataValidation>
    <dataValidation sqref="AB22" showDropDown="0" showInputMessage="0" showErrorMessage="0" allowBlank="1" type="list">
      <formula1>"✓,"</formula1>
    </dataValidation>
    <dataValidation sqref="AC22" showDropDown="0" showInputMessage="0" showErrorMessage="0" allowBlank="1" type="list">
      <formula1>"✓,"</formula1>
    </dataValidation>
    <dataValidation sqref="AD22" showDropDown="0" showInputMessage="0" showErrorMessage="0" allowBlank="1" type="list">
      <formula1>"✓,"</formula1>
    </dataValidation>
    <dataValidation sqref="AE22" showDropDown="0" showInputMessage="0" showErrorMessage="0" allowBlank="1" type="list">
      <formula1>"✓,"</formula1>
    </dataValidation>
    <dataValidation sqref="AF22" showDropDown="0" showInputMessage="0" showErrorMessage="0" allowBlank="1" type="list">
      <formula1>"✓,"</formula1>
    </dataValidation>
    <dataValidation sqref="B23" showDropDown="0" showInputMessage="0" showErrorMessage="0" allowBlank="1" type="list">
      <formula1>"✓,"</formula1>
    </dataValidation>
    <dataValidation sqref="C23" showDropDown="0" showInputMessage="0" showErrorMessage="0" allowBlank="1" type="list">
      <formula1>"✓,"</formula1>
    </dataValidation>
    <dataValidation sqref="D23" showDropDown="0" showInputMessage="0" showErrorMessage="0" allowBlank="1" type="list">
      <formula1>"✓,"</formula1>
    </dataValidation>
    <dataValidation sqref="E23" showDropDown="0" showInputMessage="0" showErrorMessage="0" allowBlank="1" type="list">
      <formula1>"✓,"</formula1>
    </dataValidation>
    <dataValidation sqref="F23" showDropDown="0" showInputMessage="0" showErrorMessage="0" allowBlank="1" type="list">
      <formula1>"✓,"</formula1>
    </dataValidation>
    <dataValidation sqref="G23" showDropDown="0" showInputMessage="0" showErrorMessage="0" allowBlank="1" type="list">
      <formula1>"✓,"</formula1>
    </dataValidation>
    <dataValidation sqref="H23" showDropDown="0" showInputMessage="0" showErrorMessage="0" allowBlank="1" type="list">
      <formula1>"✓,"</formula1>
    </dataValidation>
    <dataValidation sqref="I23" showDropDown="0" showInputMessage="0" showErrorMessage="0" allowBlank="1" type="list">
      <formula1>"✓,"</formula1>
    </dataValidation>
    <dataValidation sqref="J23" showDropDown="0" showInputMessage="0" showErrorMessage="0" allowBlank="1" type="list">
      <formula1>"✓,"</formula1>
    </dataValidation>
    <dataValidation sqref="K23" showDropDown="0" showInputMessage="0" showErrorMessage="0" allowBlank="1" type="list">
      <formula1>"✓,"</formula1>
    </dataValidation>
    <dataValidation sqref="L23" showDropDown="0" showInputMessage="0" showErrorMessage="0" allowBlank="1" type="list">
      <formula1>"✓,"</formula1>
    </dataValidation>
    <dataValidation sqref="M23" showDropDown="0" showInputMessage="0" showErrorMessage="0" allowBlank="1" type="list">
      <formula1>"✓,"</formula1>
    </dataValidation>
    <dataValidation sqref="N23" showDropDown="0" showInputMessage="0" showErrorMessage="0" allowBlank="1" type="list">
      <formula1>"✓,"</formula1>
    </dataValidation>
    <dataValidation sqref="O23" showDropDown="0" showInputMessage="0" showErrorMessage="0" allowBlank="1" type="list">
      <formula1>"✓,"</formula1>
    </dataValidation>
    <dataValidation sqref="P23" showDropDown="0" showInputMessage="0" showErrorMessage="0" allowBlank="1" type="list">
      <formula1>"✓,"</formula1>
    </dataValidation>
    <dataValidation sqref="Q23" showDropDown="0" showInputMessage="0" showErrorMessage="0" allowBlank="1" type="list">
      <formula1>"✓,"</formula1>
    </dataValidation>
    <dataValidation sqref="R23" showDropDown="0" showInputMessage="0" showErrorMessage="0" allowBlank="1" type="list">
      <formula1>"✓,"</formula1>
    </dataValidation>
    <dataValidation sqref="S23" showDropDown="0" showInputMessage="0" showErrorMessage="0" allowBlank="1" type="list">
      <formula1>"✓,"</formula1>
    </dataValidation>
    <dataValidation sqref="T23" showDropDown="0" showInputMessage="0" showErrorMessage="0" allowBlank="1" type="list">
      <formula1>"✓,"</formula1>
    </dataValidation>
    <dataValidation sqref="U23" showDropDown="0" showInputMessage="0" showErrorMessage="0" allowBlank="1" type="list">
      <formula1>"✓,"</formula1>
    </dataValidation>
    <dataValidation sqref="V23" showDropDown="0" showInputMessage="0" showErrorMessage="0" allowBlank="1" type="list">
      <formula1>"✓,"</formula1>
    </dataValidation>
    <dataValidation sqref="W23" showDropDown="0" showInputMessage="0" showErrorMessage="0" allowBlank="1" type="list">
      <formula1>"✓,"</formula1>
    </dataValidation>
    <dataValidation sqref="X23" showDropDown="0" showInputMessage="0" showErrorMessage="0" allowBlank="1" type="list">
      <formula1>"✓,"</formula1>
    </dataValidation>
    <dataValidation sqref="Y23" showDropDown="0" showInputMessage="0" showErrorMessage="0" allowBlank="1" type="list">
      <formula1>"✓,"</formula1>
    </dataValidation>
    <dataValidation sqref="Z23" showDropDown="0" showInputMessage="0" showErrorMessage="0" allowBlank="1" type="list">
      <formula1>"✓,"</formula1>
    </dataValidation>
    <dataValidation sqref="AA23" showDropDown="0" showInputMessage="0" showErrorMessage="0" allowBlank="1" type="list">
      <formula1>"✓,"</formula1>
    </dataValidation>
    <dataValidation sqref="AB23" showDropDown="0" showInputMessage="0" showErrorMessage="0" allowBlank="1" type="list">
      <formula1>"✓,"</formula1>
    </dataValidation>
    <dataValidation sqref="AC23" showDropDown="0" showInputMessage="0" showErrorMessage="0" allowBlank="1" type="list">
      <formula1>"✓,"</formula1>
    </dataValidation>
    <dataValidation sqref="AD23" showDropDown="0" showInputMessage="0" showErrorMessage="0" allowBlank="1" type="list">
      <formula1>"✓,"</formula1>
    </dataValidation>
    <dataValidation sqref="AE23" showDropDown="0" showInputMessage="0" showErrorMessage="0" allowBlank="1" type="list">
      <formula1>"✓,"</formula1>
    </dataValidation>
    <dataValidation sqref="AF23" showDropDown="0" showInputMessage="0" showErrorMessage="0" allowBlank="1" type="list">
      <formula1>"✓,"</formula1>
    </dataValidation>
    <dataValidation sqref="B24" showDropDown="0" showInputMessage="0" showErrorMessage="0" allowBlank="1" type="list">
      <formula1>"✓,"</formula1>
    </dataValidation>
    <dataValidation sqref="C24" showDropDown="0" showInputMessage="0" showErrorMessage="0" allowBlank="1" type="list">
      <formula1>"✓,"</formula1>
    </dataValidation>
    <dataValidation sqref="D24" showDropDown="0" showInputMessage="0" showErrorMessage="0" allowBlank="1" type="list">
      <formula1>"✓,"</formula1>
    </dataValidation>
    <dataValidation sqref="E24" showDropDown="0" showInputMessage="0" showErrorMessage="0" allowBlank="1" type="list">
      <formula1>"✓,"</formula1>
    </dataValidation>
    <dataValidation sqref="F24" showDropDown="0" showInputMessage="0" showErrorMessage="0" allowBlank="1" type="list">
      <formula1>"✓,"</formula1>
    </dataValidation>
    <dataValidation sqref="G24" showDropDown="0" showInputMessage="0" showErrorMessage="0" allowBlank="1" type="list">
      <formula1>"✓,"</formula1>
    </dataValidation>
    <dataValidation sqref="H24" showDropDown="0" showInputMessage="0" showErrorMessage="0" allowBlank="1" type="list">
      <formula1>"✓,"</formula1>
    </dataValidation>
    <dataValidation sqref="I24" showDropDown="0" showInputMessage="0" showErrorMessage="0" allowBlank="1" type="list">
      <formula1>"✓,"</formula1>
    </dataValidation>
    <dataValidation sqref="J24" showDropDown="0" showInputMessage="0" showErrorMessage="0" allowBlank="1" type="list">
      <formula1>"✓,"</formula1>
    </dataValidation>
    <dataValidation sqref="K24" showDropDown="0" showInputMessage="0" showErrorMessage="0" allowBlank="1" type="list">
      <formula1>"✓,"</formula1>
    </dataValidation>
    <dataValidation sqref="L24" showDropDown="0" showInputMessage="0" showErrorMessage="0" allowBlank="1" type="list">
      <formula1>"✓,"</formula1>
    </dataValidation>
    <dataValidation sqref="M24" showDropDown="0" showInputMessage="0" showErrorMessage="0" allowBlank="1" type="list">
      <formula1>"✓,"</formula1>
    </dataValidation>
    <dataValidation sqref="N24" showDropDown="0" showInputMessage="0" showErrorMessage="0" allowBlank="1" type="list">
      <formula1>"✓,"</formula1>
    </dataValidation>
    <dataValidation sqref="O24" showDropDown="0" showInputMessage="0" showErrorMessage="0" allowBlank="1" type="list">
      <formula1>"✓,"</formula1>
    </dataValidation>
    <dataValidation sqref="P24" showDropDown="0" showInputMessage="0" showErrorMessage="0" allowBlank="1" type="list">
      <formula1>"✓,"</formula1>
    </dataValidation>
    <dataValidation sqref="Q24" showDropDown="0" showInputMessage="0" showErrorMessage="0" allowBlank="1" type="list">
      <formula1>"✓,"</formula1>
    </dataValidation>
    <dataValidation sqref="R24" showDropDown="0" showInputMessage="0" showErrorMessage="0" allowBlank="1" type="list">
      <formula1>"✓,"</formula1>
    </dataValidation>
    <dataValidation sqref="S24" showDropDown="0" showInputMessage="0" showErrorMessage="0" allowBlank="1" type="list">
      <formula1>"✓,"</formula1>
    </dataValidation>
    <dataValidation sqref="T24" showDropDown="0" showInputMessage="0" showErrorMessage="0" allowBlank="1" type="list">
      <formula1>"✓,"</formula1>
    </dataValidation>
    <dataValidation sqref="U24" showDropDown="0" showInputMessage="0" showErrorMessage="0" allowBlank="1" type="list">
      <formula1>"✓,"</formula1>
    </dataValidation>
    <dataValidation sqref="V24" showDropDown="0" showInputMessage="0" showErrorMessage="0" allowBlank="1" type="list">
      <formula1>"✓,"</formula1>
    </dataValidation>
    <dataValidation sqref="W24" showDropDown="0" showInputMessage="0" showErrorMessage="0" allowBlank="1" type="list">
      <formula1>"✓,"</formula1>
    </dataValidation>
    <dataValidation sqref="X24" showDropDown="0" showInputMessage="0" showErrorMessage="0" allowBlank="1" type="list">
      <formula1>"✓,"</formula1>
    </dataValidation>
    <dataValidation sqref="Y24" showDropDown="0" showInputMessage="0" showErrorMessage="0" allowBlank="1" type="list">
      <formula1>"✓,"</formula1>
    </dataValidation>
    <dataValidation sqref="Z24" showDropDown="0" showInputMessage="0" showErrorMessage="0" allowBlank="1" type="list">
      <formula1>"✓,"</formula1>
    </dataValidation>
    <dataValidation sqref="AA24" showDropDown="0" showInputMessage="0" showErrorMessage="0" allowBlank="1" type="list">
      <formula1>"✓,"</formula1>
    </dataValidation>
    <dataValidation sqref="AB24" showDropDown="0" showInputMessage="0" showErrorMessage="0" allowBlank="1" type="list">
      <formula1>"✓,"</formula1>
    </dataValidation>
    <dataValidation sqref="AC24" showDropDown="0" showInputMessage="0" showErrorMessage="0" allowBlank="1" type="list">
      <formula1>"✓,"</formula1>
    </dataValidation>
    <dataValidation sqref="AD24" showDropDown="0" showInputMessage="0" showErrorMessage="0" allowBlank="1" type="list">
      <formula1>"✓,"</formula1>
    </dataValidation>
    <dataValidation sqref="AE24" showDropDown="0" showInputMessage="0" showErrorMessage="0" allowBlank="1" type="list">
      <formula1>"✓,"</formula1>
    </dataValidation>
    <dataValidation sqref="AF24" showDropDown="0" showInputMessage="0" showErrorMessage="0" allowBlank="1" type="list">
      <formula1>"✓,"</formula1>
    </dataValidation>
    <dataValidation sqref="B25" showDropDown="0" showInputMessage="0" showErrorMessage="0" allowBlank="1" type="list">
      <formula1>"✓,"</formula1>
    </dataValidation>
    <dataValidation sqref="C25" showDropDown="0" showInputMessage="0" showErrorMessage="0" allowBlank="1" type="list">
      <formula1>"✓,"</formula1>
    </dataValidation>
    <dataValidation sqref="D25" showDropDown="0" showInputMessage="0" showErrorMessage="0" allowBlank="1" type="list">
      <formula1>"✓,"</formula1>
    </dataValidation>
    <dataValidation sqref="E25" showDropDown="0" showInputMessage="0" showErrorMessage="0" allowBlank="1" type="list">
      <formula1>"✓,"</formula1>
    </dataValidation>
    <dataValidation sqref="F25" showDropDown="0" showInputMessage="0" showErrorMessage="0" allowBlank="1" type="list">
      <formula1>"✓,"</formula1>
    </dataValidation>
    <dataValidation sqref="G25" showDropDown="0" showInputMessage="0" showErrorMessage="0" allowBlank="1" type="list">
      <formula1>"✓,"</formula1>
    </dataValidation>
    <dataValidation sqref="H25" showDropDown="0" showInputMessage="0" showErrorMessage="0" allowBlank="1" type="list">
      <formula1>"✓,"</formula1>
    </dataValidation>
    <dataValidation sqref="I25" showDropDown="0" showInputMessage="0" showErrorMessage="0" allowBlank="1" type="list">
      <formula1>"✓,"</formula1>
    </dataValidation>
    <dataValidation sqref="J25" showDropDown="0" showInputMessage="0" showErrorMessage="0" allowBlank="1" type="list">
      <formula1>"✓,"</formula1>
    </dataValidation>
    <dataValidation sqref="K25" showDropDown="0" showInputMessage="0" showErrorMessage="0" allowBlank="1" type="list">
      <formula1>"✓,"</formula1>
    </dataValidation>
    <dataValidation sqref="L25" showDropDown="0" showInputMessage="0" showErrorMessage="0" allowBlank="1" type="list">
      <formula1>"✓,"</formula1>
    </dataValidation>
    <dataValidation sqref="M25" showDropDown="0" showInputMessage="0" showErrorMessage="0" allowBlank="1" type="list">
      <formula1>"✓,"</formula1>
    </dataValidation>
    <dataValidation sqref="N25" showDropDown="0" showInputMessage="0" showErrorMessage="0" allowBlank="1" type="list">
      <formula1>"✓,"</formula1>
    </dataValidation>
    <dataValidation sqref="O25" showDropDown="0" showInputMessage="0" showErrorMessage="0" allowBlank="1" type="list">
      <formula1>"✓,"</formula1>
    </dataValidation>
    <dataValidation sqref="P25" showDropDown="0" showInputMessage="0" showErrorMessage="0" allowBlank="1" type="list">
      <formula1>"✓,"</formula1>
    </dataValidation>
    <dataValidation sqref="Q25" showDropDown="0" showInputMessage="0" showErrorMessage="0" allowBlank="1" type="list">
      <formula1>"✓,"</formula1>
    </dataValidation>
    <dataValidation sqref="R25" showDropDown="0" showInputMessage="0" showErrorMessage="0" allowBlank="1" type="list">
      <formula1>"✓,"</formula1>
    </dataValidation>
    <dataValidation sqref="S25" showDropDown="0" showInputMessage="0" showErrorMessage="0" allowBlank="1" type="list">
      <formula1>"✓,"</formula1>
    </dataValidation>
    <dataValidation sqref="T25" showDropDown="0" showInputMessage="0" showErrorMessage="0" allowBlank="1" type="list">
      <formula1>"✓,"</formula1>
    </dataValidation>
    <dataValidation sqref="U25" showDropDown="0" showInputMessage="0" showErrorMessage="0" allowBlank="1" type="list">
      <formula1>"✓,"</formula1>
    </dataValidation>
    <dataValidation sqref="V25" showDropDown="0" showInputMessage="0" showErrorMessage="0" allowBlank="1" type="list">
      <formula1>"✓,"</formula1>
    </dataValidation>
    <dataValidation sqref="W25" showDropDown="0" showInputMessage="0" showErrorMessage="0" allowBlank="1" type="list">
      <formula1>"✓,"</formula1>
    </dataValidation>
    <dataValidation sqref="X25" showDropDown="0" showInputMessage="0" showErrorMessage="0" allowBlank="1" type="list">
      <formula1>"✓,"</formula1>
    </dataValidation>
    <dataValidation sqref="Y25" showDropDown="0" showInputMessage="0" showErrorMessage="0" allowBlank="1" type="list">
      <formula1>"✓,"</formula1>
    </dataValidation>
    <dataValidation sqref="Z25" showDropDown="0" showInputMessage="0" showErrorMessage="0" allowBlank="1" type="list">
      <formula1>"✓,"</formula1>
    </dataValidation>
    <dataValidation sqref="AA25" showDropDown="0" showInputMessage="0" showErrorMessage="0" allowBlank="1" type="list">
      <formula1>"✓,"</formula1>
    </dataValidation>
    <dataValidation sqref="AB25" showDropDown="0" showInputMessage="0" showErrorMessage="0" allowBlank="1" type="list">
      <formula1>"✓,"</formula1>
    </dataValidation>
    <dataValidation sqref="AC25" showDropDown="0" showInputMessage="0" showErrorMessage="0" allowBlank="1" type="list">
      <formula1>"✓,"</formula1>
    </dataValidation>
    <dataValidation sqref="AD25" showDropDown="0" showInputMessage="0" showErrorMessage="0" allowBlank="1" type="list">
      <formula1>"✓,"</formula1>
    </dataValidation>
    <dataValidation sqref="AE25" showDropDown="0" showInputMessage="0" showErrorMessage="0" allowBlank="1" type="list">
      <formula1>"✓,"</formula1>
    </dataValidation>
    <dataValidation sqref="AF25" showDropDown="0" showInputMessage="0" showErrorMessage="0" allowBlank="1" type="list">
      <formula1>"✓,"</formula1>
    </dataValidation>
    <dataValidation sqref="B28" showDropDown="0" showInputMessage="0" showErrorMessage="0" allowBlank="1" type="list">
      <formula1>"1,2,3,4,5,6,7,8,9,10"</formula1>
    </dataValidation>
    <dataValidation sqref="C28" showDropDown="0" showInputMessage="0" showErrorMessage="0" allowBlank="1" type="list">
      <formula1>"1,2,3,4,5,6,7,8,9,10"</formula1>
    </dataValidation>
    <dataValidation sqref="D28" showDropDown="0" showInputMessage="0" showErrorMessage="0" allowBlank="1" type="list">
      <formula1>"1,2,3,4,5,6,7,8,9,10"</formula1>
    </dataValidation>
    <dataValidation sqref="E28" showDropDown="0" showInputMessage="0" showErrorMessage="0" allowBlank="1" type="list">
      <formula1>"1,2,3,4,5,6,7,8,9,10"</formula1>
    </dataValidation>
    <dataValidation sqref="F28" showDropDown="0" showInputMessage="0" showErrorMessage="0" allowBlank="1" type="list">
      <formula1>"1,2,3,4,5,6,7,8,9,10"</formula1>
    </dataValidation>
    <dataValidation sqref="G28" showDropDown="0" showInputMessage="0" showErrorMessage="0" allowBlank="1" type="list">
      <formula1>"1,2,3,4,5,6,7,8,9,10"</formula1>
    </dataValidation>
    <dataValidation sqref="H28" showDropDown="0" showInputMessage="0" showErrorMessage="0" allowBlank="1" type="list">
      <formula1>"1,2,3,4,5,6,7,8,9,10"</formula1>
    </dataValidation>
    <dataValidation sqref="I28" showDropDown="0" showInputMessage="0" showErrorMessage="0" allowBlank="1" type="list">
      <formula1>"1,2,3,4,5,6,7,8,9,10"</formula1>
    </dataValidation>
    <dataValidation sqref="J28" showDropDown="0" showInputMessage="0" showErrorMessage="0" allowBlank="1" type="list">
      <formula1>"1,2,3,4,5,6,7,8,9,10"</formula1>
    </dataValidation>
    <dataValidation sqref="K28" showDropDown="0" showInputMessage="0" showErrorMessage="0" allowBlank="1" type="list">
      <formula1>"1,2,3,4,5,6,7,8,9,10"</formula1>
    </dataValidation>
    <dataValidation sqref="L28" showDropDown="0" showInputMessage="0" showErrorMessage="0" allowBlank="1" type="list">
      <formula1>"1,2,3,4,5,6,7,8,9,10"</formula1>
    </dataValidation>
    <dataValidation sqref="M28" showDropDown="0" showInputMessage="0" showErrorMessage="0" allowBlank="1" type="list">
      <formula1>"1,2,3,4,5,6,7,8,9,10"</formula1>
    </dataValidation>
    <dataValidation sqref="N28" showDropDown="0" showInputMessage="0" showErrorMessage="0" allowBlank="1" type="list">
      <formula1>"1,2,3,4,5,6,7,8,9,10"</formula1>
    </dataValidation>
    <dataValidation sqref="O28" showDropDown="0" showInputMessage="0" showErrorMessage="0" allowBlank="1" type="list">
      <formula1>"1,2,3,4,5,6,7,8,9,10"</formula1>
    </dataValidation>
    <dataValidation sqref="P28" showDropDown="0" showInputMessage="0" showErrorMessage="0" allowBlank="1" type="list">
      <formula1>"1,2,3,4,5,6,7,8,9,10"</formula1>
    </dataValidation>
    <dataValidation sqref="Q28" showDropDown="0" showInputMessage="0" showErrorMessage="0" allowBlank="1" type="list">
      <formula1>"1,2,3,4,5,6,7,8,9,10"</formula1>
    </dataValidation>
    <dataValidation sqref="R28" showDropDown="0" showInputMessage="0" showErrorMessage="0" allowBlank="1" type="list">
      <formula1>"1,2,3,4,5,6,7,8,9,10"</formula1>
    </dataValidation>
    <dataValidation sqref="S28" showDropDown="0" showInputMessage="0" showErrorMessage="0" allowBlank="1" type="list">
      <formula1>"1,2,3,4,5,6,7,8,9,10"</formula1>
    </dataValidation>
    <dataValidation sqref="T28" showDropDown="0" showInputMessage="0" showErrorMessage="0" allowBlank="1" type="list">
      <formula1>"1,2,3,4,5,6,7,8,9,10"</formula1>
    </dataValidation>
    <dataValidation sqref="U28" showDropDown="0" showInputMessage="0" showErrorMessage="0" allowBlank="1" type="list">
      <formula1>"1,2,3,4,5,6,7,8,9,10"</formula1>
    </dataValidation>
    <dataValidation sqref="V28" showDropDown="0" showInputMessage="0" showErrorMessage="0" allowBlank="1" type="list">
      <formula1>"1,2,3,4,5,6,7,8,9,10"</formula1>
    </dataValidation>
    <dataValidation sqref="W28" showDropDown="0" showInputMessage="0" showErrorMessage="0" allowBlank="1" type="list">
      <formula1>"1,2,3,4,5,6,7,8,9,10"</formula1>
    </dataValidation>
    <dataValidation sqref="X28" showDropDown="0" showInputMessage="0" showErrorMessage="0" allowBlank="1" type="list">
      <formula1>"1,2,3,4,5,6,7,8,9,10"</formula1>
    </dataValidation>
    <dataValidation sqref="Y28" showDropDown="0" showInputMessage="0" showErrorMessage="0" allowBlank="1" type="list">
      <formula1>"1,2,3,4,5,6,7,8,9,10"</formula1>
    </dataValidation>
    <dataValidation sqref="Z28" showDropDown="0" showInputMessage="0" showErrorMessage="0" allowBlank="1" type="list">
      <formula1>"1,2,3,4,5,6,7,8,9,10"</formula1>
    </dataValidation>
    <dataValidation sqref="AA28" showDropDown="0" showInputMessage="0" showErrorMessage="0" allowBlank="1" type="list">
      <formula1>"1,2,3,4,5,6,7,8,9,10"</formula1>
    </dataValidation>
    <dataValidation sqref="AB28" showDropDown="0" showInputMessage="0" showErrorMessage="0" allowBlank="1" type="list">
      <formula1>"1,2,3,4,5,6,7,8,9,10"</formula1>
    </dataValidation>
    <dataValidation sqref="AC28" showDropDown="0" showInputMessage="0" showErrorMessage="0" allowBlank="1" type="list">
      <formula1>"1,2,3,4,5,6,7,8,9,10"</formula1>
    </dataValidation>
    <dataValidation sqref="AD28" showDropDown="0" showInputMessage="0" showErrorMessage="0" allowBlank="1" type="list">
      <formula1>"1,2,3,4,5,6,7,8,9,10"</formula1>
    </dataValidation>
    <dataValidation sqref="AE28" showDropDown="0" showInputMessage="0" showErrorMessage="0" allowBlank="1" type="list">
      <formula1>"1,2,3,4,5,6,7,8,9,10"</formula1>
    </dataValidation>
    <dataValidation sqref="AF28" showDropDown="0" showInputMessage="0" showErrorMessage="0" allowBlank="1" type="list">
      <formula1>"1,2,3,4,5,6,7,8,9,10"</formula1>
    </dataValidation>
    <dataValidation sqref="B29" showDropDown="0" showInputMessage="0" showErrorMessage="0" allowBlank="1" type="list">
      <formula1>"1,2,3,4,5,6,7,8,9,10"</formula1>
    </dataValidation>
    <dataValidation sqref="C29" showDropDown="0" showInputMessage="0" showErrorMessage="0" allowBlank="1" type="list">
      <formula1>"1,2,3,4,5,6,7,8,9,10"</formula1>
    </dataValidation>
    <dataValidation sqref="D29" showDropDown="0" showInputMessage="0" showErrorMessage="0" allowBlank="1" type="list">
      <formula1>"1,2,3,4,5,6,7,8,9,10"</formula1>
    </dataValidation>
    <dataValidation sqref="E29" showDropDown="0" showInputMessage="0" showErrorMessage="0" allowBlank="1" type="list">
      <formula1>"1,2,3,4,5,6,7,8,9,10"</formula1>
    </dataValidation>
    <dataValidation sqref="F29" showDropDown="0" showInputMessage="0" showErrorMessage="0" allowBlank="1" type="list">
      <formula1>"1,2,3,4,5,6,7,8,9,10"</formula1>
    </dataValidation>
    <dataValidation sqref="G29" showDropDown="0" showInputMessage="0" showErrorMessage="0" allowBlank="1" type="list">
      <formula1>"1,2,3,4,5,6,7,8,9,10"</formula1>
    </dataValidation>
    <dataValidation sqref="H29" showDropDown="0" showInputMessage="0" showErrorMessage="0" allowBlank="1" type="list">
      <formula1>"1,2,3,4,5,6,7,8,9,10"</formula1>
    </dataValidation>
    <dataValidation sqref="I29" showDropDown="0" showInputMessage="0" showErrorMessage="0" allowBlank="1" type="list">
      <formula1>"1,2,3,4,5,6,7,8,9,10"</formula1>
    </dataValidation>
    <dataValidation sqref="J29" showDropDown="0" showInputMessage="0" showErrorMessage="0" allowBlank="1" type="list">
      <formula1>"1,2,3,4,5,6,7,8,9,10"</formula1>
    </dataValidation>
    <dataValidation sqref="K29" showDropDown="0" showInputMessage="0" showErrorMessage="0" allowBlank="1" type="list">
      <formula1>"1,2,3,4,5,6,7,8,9,10"</formula1>
    </dataValidation>
    <dataValidation sqref="L29" showDropDown="0" showInputMessage="0" showErrorMessage="0" allowBlank="1" type="list">
      <formula1>"1,2,3,4,5,6,7,8,9,10"</formula1>
    </dataValidation>
    <dataValidation sqref="M29" showDropDown="0" showInputMessage="0" showErrorMessage="0" allowBlank="1" type="list">
      <formula1>"1,2,3,4,5,6,7,8,9,10"</formula1>
    </dataValidation>
    <dataValidation sqref="N29" showDropDown="0" showInputMessage="0" showErrorMessage="0" allowBlank="1" type="list">
      <formula1>"1,2,3,4,5,6,7,8,9,10"</formula1>
    </dataValidation>
    <dataValidation sqref="O29" showDropDown="0" showInputMessage="0" showErrorMessage="0" allowBlank="1" type="list">
      <formula1>"1,2,3,4,5,6,7,8,9,10"</formula1>
    </dataValidation>
    <dataValidation sqref="P29" showDropDown="0" showInputMessage="0" showErrorMessage="0" allowBlank="1" type="list">
      <formula1>"1,2,3,4,5,6,7,8,9,10"</formula1>
    </dataValidation>
    <dataValidation sqref="Q29" showDropDown="0" showInputMessage="0" showErrorMessage="0" allowBlank="1" type="list">
      <formula1>"1,2,3,4,5,6,7,8,9,10"</formula1>
    </dataValidation>
    <dataValidation sqref="R29" showDropDown="0" showInputMessage="0" showErrorMessage="0" allowBlank="1" type="list">
      <formula1>"1,2,3,4,5,6,7,8,9,10"</formula1>
    </dataValidation>
    <dataValidation sqref="S29" showDropDown="0" showInputMessage="0" showErrorMessage="0" allowBlank="1" type="list">
      <formula1>"1,2,3,4,5,6,7,8,9,10"</formula1>
    </dataValidation>
    <dataValidation sqref="T29" showDropDown="0" showInputMessage="0" showErrorMessage="0" allowBlank="1" type="list">
      <formula1>"1,2,3,4,5,6,7,8,9,10"</formula1>
    </dataValidation>
    <dataValidation sqref="U29" showDropDown="0" showInputMessage="0" showErrorMessage="0" allowBlank="1" type="list">
      <formula1>"1,2,3,4,5,6,7,8,9,10"</formula1>
    </dataValidation>
    <dataValidation sqref="V29" showDropDown="0" showInputMessage="0" showErrorMessage="0" allowBlank="1" type="list">
      <formula1>"1,2,3,4,5,6,7,8,9,10"</formula1>
    </dataValidation>
    <dataValidation sqref="W29" showDropDown="0" showInputMessage="0" showErrorMessage="0" allowBlank="1" type="list">
      <formula1>"1,2,3,4,5,6,7,8,9,10"</formula1>
    </dataValidation>
    <dataValidation sqref="X29" showDropDown="0" showInputMessage="0" showErrorMessage="0" allowBlank="1" type="list">
      <formula1>"1,2,3,4,5,6,7,8,9,10"</formula1>
    </dataValidation>
    <dataValidation sqref="Y29" showDropDown="0" showInputMessage="0" showErrorMessage="0" allowBlank="1" type="list">
      <formula1>"1,2,3,4,5,6,7,8,9,10"</formula1>
    </dataValidation>
    <dataValidation sqref="Z29" showDropDown="0" showInputMessage="0" showErrorMessage="0" allowBlank="1" type="list">
      <formula1>"1,2,3,4,5,6,7,8,9,10"</formula1>
    </dataValidation>
    <dataValidation sqref="AA29" showDropDown="0" showInputMessage="0" showErrorMessage="0" allowBlank="1" type="list">
      <formula1>"1,2,3,4,5,6,7,8,9,10"</formula1>
    </dataValidation>
    <dataValidation sqref="AB29" showDropDown="0" showInputMessage="0" showErrorMessage="0" allowBlank="1" type="list">
      <formula1>"1,2,3,4,5,6,7,8,9,10"</formula1>
    </dataValidation>
    <dataValidation sqref="AC29" showDropDown="0" showInputMessage="0" showErrorMessage="0" allowBlank="1" type="list">
      <formula1>"1,2,3,4,5,6,7,8,9,10"</formula1>
    </dataValidation>
    <dataValidation sqref="AD29" showDropDown="0" showInputMessage="0" showErrorMessage="0" allowBlank="1" type="list">
      <formula1>"1,2,3,4,5,6,7,8,9,10"</formula1>
    </dataValidation>
    <dataValidation sqref="AE29" showDropDown="0" showInputMessage="0" showErrorMessage="0" allowBlank="1" type="list">
      <formula1>"1,2,3,4,5,6,7,8,9,10"</formula1>
    </dataValidation>
    <dataValidation sqref="AF29" showDropDown="0" showInputMessage="0" showErrorMessage="0" allowBlank="1" type="list">
      <formula1>"1,2,3,4,5,6,7,8,9,10"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Nikolas Moore</dc:creator>
  <dcterms:created xsi:type="dcterms:W3CDTF">2026-06-19T21:49:03Z</dcterms:created>
  <dcterms:modified xsi:type="dcterms:W3CDTF">2026-06-19T21:49:03Z</dcterms:modified>
  <cp:lastModifiedBy>Nikolas Moore</cp:lastModifiedBy>
</cp:coreProperties>
</file>